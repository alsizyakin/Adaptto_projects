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<sst xmlns="http://schemas.openxmlformats.org/spreadsheetml/2006/main" count="40" uniqueCount="40">
  <si>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Eлм</t>
  </si>
  <si>
    <t>Eфrms</t>
  </si>
  <si>
    <t>Eлrms</t>
  </si>
  <si>
    <t>Eфм</t>
  </si>
  <si>
    <t>f</t>
  </si>
  <si>
    <t>n</t>
  </si>
  <si>
    <t>p</t>
  </si>
  <si>
    <t>psi</t>
  </si>
  <si>
    <t>startd</t>
  </si>
  <si>
    <t>endd</t>
  </si>
  <si>
    <t>startq</t>
  </si>
  <si>
    <t>endq</t>
  </si>
  <si>
    <t>Ψ</t>
  </si>
  <si>
    <t>0.1184</t>
  </si>
  <si>
    <t>R</t>
  </si>
  <si>
    <t>I</t>
  </si>
  <si>
    <t>Ld</t>
  </si>
  <si>
    <t>E</t>
  </si>
  <si>
    <t>Lq</t>
  </si>
  <si>
    <t>IdR</t>
  </si>
  <si>
    <t>IqR</t>
  </si>
  <si>
    <t>Id</t>
  </si>
  <si>
    <t>IdXd</t>
  </si>
  <si>
    <t>Iq</t>
  </si>
  <si>
    <t>IqXq</t>
  </si>
  <si>
    <t>U</t>
  </si>
  <si>
    <t>ω</t>
  </si>
  <si>
    <t>IRd</t>
  </si>
  <si>
    <t>IRq</t>
  </si>
  <si>
    <t>Eлm</t>
  </si>
  <si>
    <t>M</t>
  </si>
  <si>
    <t>Idm</t>
  </si>
  <si>
    <t>Is</t>
  </si>
  <si>
    <t>Id%</t>
  </si>
  <si>
    <t>IdXd_d</t>
  </si>
  <si>
    <t>IdXd_q</t>
  </si>
  <si>
    <t>IqXq_d</t>
  </si>
  <si>
    <t>IqXq_q</t>
  </si>
  <si>
    <t>Um</t>
  </si>
  <si>
    <t>ang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</si>
</sst>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/>
      <name val="Asana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2" borderId="0" numFmtId="0" xfId="0" applyFill="1"/>
    <xf fontId="1" fillId="0" borderId="0" numFmtId="0" xfId="0" applyFont="1"/>
    <xf fontId="0" fillId="0" borderId="0" numFmtId="11" xfId="0" applyNumberFormat="1"/>
    <xf fontId="0" fillId="0" borderId="0" numFmtId="11" xfId="0" applyNumberFormat="1"/>
    <xf fontId="0" fillId="0" borderId="0" numFmtId="2" xfId="0" applyNumberForma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ru-RU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77250"/>
          <c:y val="0.051910"/>
          <c:w val="0.828810"/>
          <c:h val="0.754860"/>
        </c:manualLayout>
      </c:layout>
      <c:scatterChart>
        <c:scatterStyle val="lineMarker"/>
        <c:varyColors val="0"/>
        <c:ser>
          <c:idx val="0"/>
          <c:order val="0"/>
          <c:tx>
            <c:v>E</c:v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'Лист1'!$E$8:$F$8</c:f>
            </c:numRef>
          </c:xVal>
          <c:yVal>
            <c:numRef>
              <c:f>'Лист1'!$G$8:$H$8</c:f>
            </c:numRef>
          </c:yVal>
          <c:smooth val="0"/>
        </c:ser>
        <c:ser>
          <c:idx val="1"/>
          <c:order val="1"/>
          <c:tx>
            <c:v>IdR</c:v>
          </c:tx>
          <c:spPr bwMode="auto">
            <a:prstGeom prst="rect">
              <a:avLst/>
            </a:prstGeom>
            <a:solidFill>
              <a:schemeClr val="accent2"/>
            </a:solidFill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'Лист1'!$E$9:$F$9</c:f>
            </c:numRef>
          </c:xVal>
          <c:yVal>
            <c:numRef>
              <c:f>'Лист1'!$G$9:$H$9</c:f>
            </c:numRef>
          </c:yVal>
          <c:smooth val="0"/>
        </c:ser>
        <c:ser>
          <c:idx val="2"/>
          <c:order val="2"/>
          <c:tx>
            <c:v>IqXq</c:v>
          </c:tx>
          <c:spPr bwMode="auto">
            <a:prstGeom prst="rect">
              <a:avLst/>
            </a:prstGeom>
            <a:solidFill>
              <a:schemeClr val="accent3"/>
            </a:solidFill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'Лист1'!$E$12:$F$12</c:f>
            </c:numRef>
          </c:xVal>
          <c:yVal>
            <c:numRef>
              <c:f>'Лист1'!$G$12:$H$12</c:f>
            </c:numRef>
          </c:yVal>
          <c:smooth val="0"/>
        </c:ser>
        <c:ser>
          <c:idx val="3"/>
          <c:order val="3"/>
          <c:tx>
            <c:v>U</c:v>
          </c:tx>
          <c:spPr bwMode="auto">
            <a:prstGeom prst="rect">
              <a:avLst/>
            </a:prstGeom>
            <a:solidFill>
              <a:schemeClr val="accent4"/>
            </a:solidFill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'Лист1'!$E$13:$F$13</c:f>
            </c:numRef>
          </c:xVal>
          <c:yVal>
            <c:numRef>
              <c:f>'Лист1'!$G$13:$H$13</c:f>
            </c:numRef>
          </c:yVal>
          <c:smooth val="0"/>
        </c:ser>
        <c:ser>
          <c:idx val="4"/>
          <c:order val="4"/>
          <c:tx>
            <c:v>I</c:v>
          </c:tx>
          <c:spPr bwMode="auto">
            <a:prstGeom prst="rect">
              <a:avLst/>
            </a:prstGeom>
            <a:solidFill>
              <a:schemeClr val="accent5"/>
            </a:solidFill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5"/>
              </a:solidFill>
              <a:ln w="9525">
                <a:solidFill>
                  <a:schemeClr val="accent5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'Лист1'!$E$7:$F$7</c:f>
            </c:numRef>
          </c:xVal>
          <c:yVal>
            <c:numRef>
              <c:f>'Лист1'!$G$7:$H$7</c:f>
            </c:numRef>
          </c:yVal>
          <c:smooth val="0"/>
        </c:ser>
        <c:ser>
          <c:idx val="5"/>
          <c:order val="5"/>
          <c:tx>
            <c:v>Ф</c:v>
          </c:tx>
          <c:spPr bwMode="auto">
            <a:prstGeom prst="rect">
              <a:avLst/>
            </a:prstGeom>
            <a:solidFill>
              <a:schemeClr val="accent6"/>
            </a:solidFill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6"/>
              </a:solidFill>
              <a:ln w="9525">
                <a:solidFill>
                  <a:schemeClr val="accent6"/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'Лист1'!$G$6:$H$6</c:f>
            </c:numRef>
          </c:xVal>
          <c:yVal>
            <c:numRef>
              <c:f>'Лист1'!$E$6:$F$6</c:f>
            </c:numRef>
          </c:yVal>
          <c:smooth val="0"/>
        </c:ser>
        <c:ser>
          <c:idx val="6"/>
          <c:order val="6"/>
          <c:tx>
            <c:v>IqR</c:v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'Лист1'!$E$10:$F$10</c:f>
            </c:numRef>
          </c:xVal>
          <c:yVal>
            <c:numRef>
              <c:f>'Лист1'!$G$10:$H$10</c:f>
            </c:numRef>
          </c:yVal>
          <c:smooth val="0"/>
        </c:ser>
        <c:ser>
          <c:idx val="7"/>
          <c:order val="7"/>
          <c:tx>
            <c:v>IdXd</c:v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 w="19050" cap="rnd">
              <a:solidFill>
                <a:schemeClr val="accent2">
                  <a:lumMod val="60000"/>
                </a:schemeClr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</c:spPr>
          </c:marker>
          <c:dLbls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'Лист1'!$E$11:$F$11</c:f>
            </c:numRef>
          </c:xVal>
          <c:yVal>
            <c:numRef>
              <c:f>'Лист1'!$G$11:$H$11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axId val="630600171"/>
        <c:axId val="630600172"/>
      </c:scatterChart>
      <c:valAx>
        <c:axId val="63060017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600172"/>
        <c:crosses val="autoZero"/>
        <c:crossBetween val="midCat"/>
      </c:valAx>
      <c:valAx>
        <c:axId val="6306001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0600171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8667748" y="1181098"/>
      <a:ext cx="3469003" cy="290512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U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'Лист1'!$J$59</c:f>
              <c:strCache>
                <c:ptCount val="1"/>
                <c:pt idx="0">
                  <c:v>Um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'Лист1'!$B$60:$B$260</c:f>
            </c:numRef>
          </c:xVal>
          <c:yVal>
            <c:numRef>
              <c:f>'Лист1'!$J$60:$J$260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73"/>
        <c:axId val="664969074"/>
      </c:scatterChart>
      <c:valAx>
        <c:axId val="66496907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4"/>
        <c:crosses val="autoZero"/>
        <c:crossBetween val="between"/>
      </c:valAx>
      <c:valAx>
        <c:axId val="66496907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824037" y="454342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'Лист1'!$K$59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'Лист1'!$B$60:$B$260</c:f>
            </c:numRef>
          </c:xVal>
          <c:yVal>
            <c:numRef>
              <c:f>'Лист1'!$K$60:$K$260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79"/>
        <c:axId val="664969080"/>
      </c:scatterChart>
      <c:valAx>
        <c:axId val="66496907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0"/>
        <c:crosses val="autoZero"/>
        <c:crossBetween val="between"/>
      </c:valAx>
      <c:valAx>
        <c:axId val="6649690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05599" y="45434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U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'Лист1'!$J$59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'Лист1'!$N$60:$N$260</c:f>
            </c:numRef>
          </c:xVal>
          <c:yVal>
            <c:numRef>
              <c:f>'Лист1'!$X$60:$X$260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83"/>
        <c:axId val="664969084"/>
      </c:scatterChart>
      <c:valAx>
        <c:axId val="66496908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4"/>
        <c:crosses val="autoZero"/>
        <c:crossBetween val="between"/>
      </c:valAx>
      <c:valAx>
        <c:axId val="66496908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828799" y="7439024"/>
      <a:ext cx="455294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tx>
            <c:strRef>
              <c:f>'Лист1'!$K$59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/>
            </c:spPr>
          </c:marker>
          <c:dLbls>
            <c:dLblPos val="ctr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xVal>
            <c:numRef>
              <c:f>'Лист1'!$N$60:$N$260</c:f>
            </c:numRef>
          </c:xVal>
          <c:yVal>
            <c:numRef>
              <c:f>'Лист1'!$Y$60:$Y$260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64969087"/>
        <c:axId val="664969088"/>
      </c:scatterChart>
      <c:valAx>
        <c:axId val="66496908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8"/>
        <c:crosses val="autoZero"/>
        <c:crossBetween val="between"/>
      </c:valAx>
      <c:valAx>
        <c:axId val="6649690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6649690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05599" y="7439024"/>
      <a:ext cx="4781547" cy="272414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133347</xdr:colOff>
      <xdr:row>6</xdr:row>
      <xdr:rowOff>85723</xdr:rowOff>
    </xdr:from>
    <xdr:to>
      <xdr:col>19</xdr:col>
      <xdr:colOff>211452</xdr:colOff>
      <xdr:row>22</xdr:row>
      <xdr:rowOff>85721</xdr:rowOff>
    </xdr:to>
    <xdr:graphicFrame>
      <xdr:nvGraphicFramePr>
        <xdr:cNvPr id="2102626635" name=""/>
        <xdr:cNvGraphicFramePr>
          <a:graphicFrameLocks xmlns:a="http://schemas.openxmlformats.org/drawingml/2006/main"/>
        </xdr:cNvGraphicFramePr>
      </xdr:nvGraphicFramePr>
      <xdr:xfrm rot="0">
        <a:off x="8667748" y="1181098"/>
        <a:ext cx="3469003" cy="2905123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2</xdr:col>
      <xdr:colOff>604837</xdr:colOff>
      <xdr:row>24</xdr:row>
      <xdr:rowOff>180974</xdr:rowOff>
    </xdr:from>
    <xdr:to>
      <xdr:col>10</xdr:col>
      <xdr:colOff>280987</xdr:colOff>
      <xdr:row>40</xdr:row>
      <xdr:rowOff>9524</xdr:rowOff>
    </xdr:to>
    <xdr:graphicFrame>
      <xdr:nvGraphicFramePr>
        <xdr:cNvPr id="1545508772" name=""/>
        <xdr:cNvGraphicFramePr>
          <a:graphicFrameLocks xmlns:a="http://schemas.openxmlformats.org/drawingml/2006/main"/>
        </xdr:cNvGraphicFramePr>
      </xdr:nvGraphicFramePr>
      <xdr:xfrm rot="0">
        <a:off x="1824037" y="454342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10</xdr:col>
      <xdr:colOff>609599</xdr:colOff>
      <xdr:row>24</xdr:row>
      <xdr:rowOff>180974</xdr:rowOff>
    </xdr:from>
    <xdr:to>
      <xdr:col>18</xdr:col>
      <xdr:colOff>285748</xdr:colOff>
      <xdr:row>40</xdr:row>
      <xdr:rowOff>9523</xdr:rowOff>
    </xdr:to>
    <xdr:graphicFrame>
      <xdr:nvGraphicFramePr>
        <xdr:cNvPr id="100684104" name=""/>
        <xdr:cNvGraphicFramePr>
          <a:graphicFrameLocks xmlns:a="http://schemas.openxmlformats.org/drawingml/2006/main"/>
        </xdr:cNvGraphicFramePr>
      </xdr:nvGraphicFramePr>
      <xdr:xfrm rot="0">
        <a:off x="6705599" y="4543424"/>
        <a:ext cx="455294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2</xdr:col>
      <xdr:colOff>609599</xdr:colOff>
      <xdr:row>40</xdr:row>
      <xdr:rowOff>180974</xdr:rowOff>
    </xdr:from>
    <xdr:to>
      <xdr:col>10</xdr:col>
      <xdr:colOff>285748</xdr:colOff>
      <xdr:row>56</xdr:row>
      <xdr:rowOff>9523</xdr:rowOff>
    </xdr:to>
    <xdr:graphicFrame>
      <xdr:nvGraphicFramePr>
        <xdr:cNvPr id="247355617" name=""/>
        <xdr:cNvGraphicFramePr>
          <a:graphicFrameLocks xmlns:a="http://schemas.openxmlformats.org/drawingml/2006/main"/>
        </xdr:cNvGraphicFramePr>
      </xdr:nvGraphicFramePr>
      <xdr:xfrm rot="0">
        <a:off x="1828799" y="7439024"/>
        <a:ext cx="455294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10</xdr:col>
      <xdr:colOff>609599</xdr:colOff>
      <xdr:row>40</xdr:row>
      <xdr:rowOff>180974</xdr:rowOff>
    </xdr:from>
    <xdr:to>
      <xdr:col>18</xdr:col>
      <xdr:colOff>285747</xdr:colOff>
      <xdr:row>56</xdr:row>
      <xdr:rowOff>9521</xdr:rowOff>
    </xdr:to>
    <xdr:graphicFrame>
      <xdr:nvGraphicFramePr>
        <xdr:cNvPr id="2054016054" name=""/>
        <xdr:cNvGraphicFramePr>
          <a:graphicFrameLocks xmlns:a="http://schemas.openxmlformats.org/drawingml/2006/main"/>
        </xdr:cNvGraphicFramePr>
      </xdr:nvGraphicFramePr>
      <xdr:xfrm rot="0">
        <a:off x="6705599" y="7439024"/>
        <a:ext cx="4781547" cy="272414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6" activeCellId="0" sqref="B6"/>
    </sheetView>
  </sheetViews>
  <sheetFormatPr defaultRowHeight="14.25"/>
  <cols>
    <col bestFit="1" min="15" max="16" width="10.8515625"/>
    <col bestFit="1" min="19" max="20" width="10.8515625"/>
    <col bestFit="1" min="25" max="25" width="9.8515625"/>
  </cols>
  <sheetData>
    <row r="1" ht="14.25">
      <c r="A1" t="s">
        <v>0</v>
      </c>
      <c r="B1">
        <v>42</v>
      </c>
      <c r="D1" t="s">
        <v>1</v>
      </c>
      <c r="E1">
        <v>100</v>
      </c>
      <c r="G1" t="s">
        <v>2</v>
      </c>
      <c r="H1">
        <v>124</v>
      </c>
      <c r="J1" t="s">
        <v>3</v>
      </c>
      <c r="K1">
        <v>141</v>
      </c>
    </row>
    <row r="2" ht="14.25">
      <c r="A2" t="s">
        <v>4</v>
      </c>
      <c r="B2">
        <v>32.6</v>
      </c>
      <c r="D2" t="s">
        <v>5</v>
      </c>
      <c r="E2">
        <v>3000</v>
      </c>
      <c r="G2" t="s">
        <v>5</v>
      </c>
      <c r="H2">
        <v>1000</v>
      </c>
      <c r="J2" t="s">
        <v>5</v>
      </c>
      <c r="K2">
        <v>3000</v>
      </c>
    </row>
    <row r="3" ht="14.25">
      <c r="D3" t="s">
        <v>6</v>
      </c>
      <c r="E3">
        <v>1</v>
      </c>
      <c r="G3" t="s">
        <v>6</v>
      </c>
      <c r="H3">
        <v>13</v>
      </c>
      <c r="J3" t="s">
        <v>6</v>
      </c>
      <c r="K3">
        <v>1</v>
      </c>
    </row>
    <row r="4" ht="15">
      <c r="A4" t="s">
        <v>7</v>
      </c>
      <c r="B4">
        <f>B1/SQRT(3)/B2/2/PI()</f>
        <v>0.118383505151919</v>
      </c>
      <c r="D4" t="s">
        <v>7</v>
      </c>
      <c r="E4">
        <f>E1*SQRT(2)/E2*60/2/PI()/E3</f>
        <v>0.450158158078553</v>
      </c>
      <c r="G4" t="s">
        <v>7</v>
      </c>
      <c r="H4">
        <f>H1/SQRT(3)*SQRT(2)/H2*60/2/PI()/H3</f>
        <v>0.0743710795022891</v>
      </c>
      <c r="J4" t="s">
        <v>7</v>
      </c>
      <c r="K4">
        <f>K1/K2*60/2/PI()/K3</f>
        <v>0.448816939519145</v>
      </c>
    </row>
    <row r="5" s="1" customFormat="1" ht="14.25">
      <c r="E5" s="1" t="s">
        <v>8</v>
      </c>
      <c r="F5" s="1" t="s">
        <v>9</v>
      </c>
      <c r="G5" s="1" t="s">
        <v>10</v>
      </c>
      <c r="H5" s="1" t="s">
        <v>11</v>
      </c>
    </row>
    <row r="6" ht="15">
      <c r="A6" s="2" t="s">
        <v>12</v>
      </c>
      <c r="B6" t="s">
        <v>13</v>
      </c>
      <c r="D6" s="2" t="s">
        <v>12</v>
      </c>
      <c r="E6">
        <v>0</v>
      </c>
      <c r="F6">
        <v>0</v>
      </c>
      <c r="G6">
        <v>4.5</v>
      </c>
      <c r="H6">
        <v>0</v>
      </c>
    </row>
    <row r="7" ht="14.25">
      <c r="A7" t="s">
        <v>14</v>
      </c>
      <c r="B7" s="3">
        <v>0.65</v>
      </c>
      <c r="D7" t="s">
        <v>15</v>
      </c>
      <c r="E7">
        <v>0</v>
      </c>
      <c r="F7">
        <f>B11</f>
        <v>20</v>
      </c>
      <c r="G7">
        <v>0</v>
      </c>
      <c r="H7">
        <f>B12</f>
        <v>3</v>
      </c>
    </row>
    <row r="8" ht="14.25">
      <c r="A8" t="s">
        <v>16</v>
      </c>
      <c r="B8" s="4">
        <v>0.0036</v>
      </c>
      <c r="D8" t="s">
        <v>17</v>
      </c>
      <c r="E8">
        <v>0</v>
      </c>
      <c r="F8">
        <f>0</f>
        <v>0</v>
      </c>
      <c r="G8">
        <v>0</v>
      </c>
      <c r="H8">
        <f>B15</f>
        <v>354.606223576397</v>
      </c>
    </row>
    <row r="9" ht="14.25">
      <c r="A9" t="s">
        <v>18</v>
      </c>
      <c r="B9" s="3">
        <v>0.001</v>
      </c>
      <c r="D9" t="s">
        <v>19</v>
      </c>
      <c r="E9">
        <f t="shared" ref="E9:E10" si="0">F8</f>
        <v>0</v>
      </c>
      <c r="F9">
        <f>E9+B16</f>
        <v>13</v>
      </c>
      <c r="G9">
        <f t="shared" ref="G9:G10" si="1">H8</f>
        <v>354.606223576397</v>
      </c>
      <c r="H9">
        <f>G9</f>
        <v>354.606223576397</v>
      </c>
    </row>
    <row r="10" ht="14.25">
      <c r="D10" t="s">
        <v>20</v>
      </c>
      <c r="E10">
        <f t="shared" si="0"/>
        <v>13</v>
      </c>
      <c r="F10">
        <f t="shared" ref="F10:F11" si="2">E10</f>
        <v>13</v>
      </c>
      <c r="G10">
        <f t="shared" si="1"/>
        <v>354.606223576397</v>
      </c>
      <c r="H10">
        <f t="shared" ref="H10:H11" si="3">G10+B17</f>
        <v>356.556223576397</v>
      </c>
    </row>
    <row r="11" ht="14.25">
      <c r="A11" t="s">
        <v>21</v>
      </c>
      <c r="B11">
        <v>20</v>
      </c>
      <c r="D11" t="s">
        <v>22</v>
      </c>
      <c r="E11">
        <f t="shared" ref="E11:E12" si="4">F10</f>
        <v>13</v>
      </c>
      <c r="F11">
        <f t="shared" si="2"/>
        <v>13</v>
      </c>
      <c r="G11">
        <f t="shared" ref="G11:G12" si="5">H10</f>
        <v>356.556223576397</v>
      </c>
      <c r="H11">
        <f t="shared" si="3"/>
        <v>572.1951433188</v>
      </c>
      <c r="L11">
        <v>0.027567</v>
      </c>
    </row>
    <row r="12" ht="14.25">
      <c r="A12" t="s">
        <v>23</v>
      </c>
      <c r="B12" s="5">
        <v>3</v>
      </c>
      <c r="D12" t="s">
        <v>24</v>
      </c>
      <c r="E12">
        <f t="shared" si="4"/>
        <v>13</v>
      </c>
      <c r="F12">
        <f>E12-B19</f>
        <v>4.01504501073319</v>
      </c>
      <c r="G12">
        <f t="shared" si="5"/>
        <v>572.1951433188</v>
      </c>
      <c r="H12">
        <f>G12</f>
        <v>572.1951433188</v>
      </c>
    </row>
    <row r="13" ht="14.25">
      <c r="A13" t="s">
        <v>6</v>
      </c>
      <c r="B13">
        <v>13</v>
      </c>
      <c r="D13" t="s">
        <v>25</v>
      </c>
      <c r="E13">
        <v>0</v>
      </c>
      <c r="F13">
        <f>F12</f>
        <v>4.01504501073319</v>
      </c>
      <c r="G13">
        <v>0</v>
      </c>
      <c r="H13">
        <f>H12</f>
        <v>572.1951433188</v>
      </c>
    </row>
    <row r="14" ht="15">
      <c r="A14" s="2" t="s">
        <v>26</v>
      </c>
      <c r="B14">
        <f>F16/60*B13*2*PI()</f>
        <v>2994.98499642227</v>
      </c>
      <c r="L14">
        <v>0.005925</v>
      </c>
    </row>
    <row r="15" ht="14.25">
      <c r="A15" t="s">
        <v>17</v>
      </c>
      <c r="B15">
        <f>B14*B6</f>
        <v>354.606223576397</v>
      </c>
    </row>
    <row r="16" ht="14.25">
      <c r="A16" t="s">
        <v>27</v>
      </c>
      <c r="B16">
        <f>B11*B7</f>
        <v>13</v>
      </c>
      <c r="E16" t="s">
        <v>5</v>
      </c>
      <c r="F16">
        <v>2200</v>
      </c>
    </row>
    <row r="17" ht="14.25">
      <c r="A17" t="s">
        <v>28</v>
      </c>
      <c r="B17">
        <f>B12*B7</f>
        <v>1.95</v>
      </c>
    </row>
    <row r="18" ht="14.25">
      <c r="A18" t="s">
        <v>22</v>
      </c>
      <c r="B18">
        <f>B11*B8*B14</f>
        <v>215.638919742403</v>
      </c>
      <c r="E18" t="s">
        <v>29</v>
      </c>
      <c r="F18">
        <f>B15*SQRT(3)</f>
        <v>614.195995914448</v>
      </c>
    </row>
    <row r="19" ht="14.25">
      <c r="A19" t="s">
        <v>24</v>
      </c>
      <c r="B19">
        <f>B12*B9*B14</f>
        <v>8.98495498926681</v>
      </c>
    </row>
    <row r="20" ht="14.25">
      <c r="A20" t="s">
        <v>25</v>
      </c>
      <c r="B20">
        <f>SQRT(F12*F12+H12*H12)</f>
        <v>572.209229761335</v>
      </c>
    </row>
    <row r="21" ht="14.25">
      <c r="A21" t="s">
        <v>30</v>
      </c>
      <c r="B21">
        <f>1.5*B13*(B12*B6+B11*B12*(B8-B9))</f>
        <v>9.9684</v>
      </c>
    </row>
    <row r="25" s="1" customFormat="1" ht="14.25"/>
    <row r="26" ht="14.25">
      <c r="A26" t="s">
        <v>23</v>
      </c>
      <c r="B26">
        <v>20</v>
      </c>
    </row>
    <row r="27" ht="14.25">
      <c r="A27" t="s">
        <v>31</v>
      </c>
      <c r="B27">
        <v>30</v>
      </c>
    </row>
    <row r="31" ht="14.25">
      <c r="A31" t="s">
        <v>32</v>
      </c>
      <c r="B31">
        <v>141</v>
      </c>
    </row>
    <row r="48" ht="14.25">
      <c r="Y48">
        <f>MAX(Y60:Y260)</f>
        <v>745.889916748359</v>
      </c>
    </row>
    <row r="59" ht="14.25">
      <c r="A59" t="s">
        <v>33</v>
      </c>
      <c r="B59" t="s">
        <v>21</v>
      </c>
      <c r="C59" t="s">
        <v>17</v>
      </c>
      <c r="D59" t="s">
        <v>20</v>
      </c>
      <c r="E59" t="s">
        <v>19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30</v>
      </c>
      <c r="N59" s="6" t="s">
        <v>39</v>
      </c>
      <c r="O59" s="6" t="s">
        <v>23</v>
      </c>
      <c r="P59" t="s">
        <v>21</v>
      </c>
      <c r="Q59" t="s">
        <v>17</v>
      </c>
      <c r="R59" t="s">
        <v>20</v>
      </c>
      <c r="S59" t="s">
        <v>19</v>
      </c>
      <c r="T59" t="s">
        <v>34</v>
      </c>
      <c r="U59" t="s">
        <v>35</v>
      </c>
      <c r="V59" t="s">
        <v>36</v>
      </c>
      <c r="W59" t="s">
        <v>37</v>
      </c>
      <c r="X59" t="s">
        <v>38</v>
      </c>
      <c r="Y59" t="s">
        <v>30</v>
      </c>
    </row>
    <row r="60" ht="14.25">
      <c r="A60">
        <v>100</v>
      </c>
      <c r="B60">
        <f t="shared" ref="B60:B99" si="6">$B$27*A60/100</f>
        <v>30</v>
      </c>
      <c r="C60">
        <f>$H$8</f>
        <v>354.606223576397</v>
      </c>
      <c r="D60">
        <f>$C$60+$B$26*$B$7</f>
        <v>367.606223576397</v>
      </c>
      <c r="E60">
        <f t="shared" ref="E60:E99" si="7">B60*$B$7</f>
        <v>19.5</v>
      </c>
      <c r="F60">
        <f t="shared" ref="F60:F99" si="8">E60</f>
        <v>19.5</v>
      </c>
      <c r="G60">
        <f t="shared" ref="G60:G99" si="9">$D$60+B60*$B$8*$B$14</f>
        <v>691.064603190002</v>
      </c>
      <c r="H60">
        <f t="shared" ref="H60:H99" si="10">G60</f>
        <v>691.064603190002</v>
      </c>
      <c r="I60">
        <f t="shared" ref="I60:I99" si="11">E60-$B$26*$B$14*$B$9</f>
        <v>-40.3996999284454</v>
      </c>
      <c r="J60">
        <f t="shared" ref="J60:J99" si="12">SQRT(I60*I60+H60*H60)</f>
        <v>692.244481044423</v>
      </c>
      <c r="K60">
        <f t="shared" ref="K60:K99" si="13">1.5*$B$13*($B$26*$B$6+$B$26*B60*($B$8-$B$9))</f>
        <v>76.596</v>
      </c>
      <c r="N60">
        <f t="shared" ref="N60:N99" si="14">180*A60/100</f>
        <v>180</v>
      </c>
      <c r="O60">
        <f t="shared" ref="O60:O99" si="15">$B$31*SIN(N60/180*PI())</f>
        <v>1.72675198679777e-14</v>
      </c>
      <c r="P60" s="7">
        <f t="shared" ref="P60:P99" si="16">$B$31*COS(N60/180*PI())</f>
        <v>-141</v>
      </c>
      <c r="Q60" s="7">
        <f>$H$8</f>
        <v>354.606223576397</v>
      </c>
      <c r="R60" s="7">
        <f t="shared" ref="R60:R99" si="17">$Q$60+O60*$B$7</f>
        <v>354.606223576397</v>
      </c>
      <c r="S60" s="7">
        <f t="shared" ref="S60:S99" si="18">P60*$B$7</f>
        <v>-91.65</v>
      </c>
      <c r="T60" s="7">
        <f t="shared" ref="T60:T99" si="19">S60</f>
        <v>-91.65</v>
      </c>
      <c r="U60" s="7">
        <f t="shared" ref="U60:U99" si="20">R60+P60*$B$8*$B$14</f>
        <v>-1165.64816060755</v>
      </c>
      <c r="V60" s="7">
        <f t="shared" ref="V60:V99" si="21">U60</f>
        <v>-1165.64816060755</v>
      </c>
      <c r="W60" s="7">
        <f t="shared" ref="W60:W99" si="22">S60-O60*$B$14*$B$9</f>
        <v>-91.6500000000001</v>
      </c>
      <c r="X60" s="7">
        <f t="shared" ref="X60:X99" si="23">SQRT(W60*W60+V60*V60)</f>
        <v>1169.2456357959</v>
      </c>
      <c r="Y60" s="7">
        <f t="shared" ref="Y60:Y99" si="24">1.5*$B$13*(O60*$B$6+O60*P60*($B$8-$B$9))</f>
        <v>-8.35730694090252e-14</v>
      </c>
    </row>
    <row r="61" ht="14.25">
      <c r="A61">
        <v>99</v>
      </c>
      <c r="B61">
        <f t="shared" si="6"/>
        <v>29.7</v>
      </c>
      <c r="E61">
        <f t="shared" si="7"/>
        <v>19.305</v>
      </c>
      <c r="F61">
        <f t="shared" si="8"/>
        <v>19.305</v>
      </c>
      <c r="G61">
        <f t="shared" si="9"/>
        <v>687.830019393866</v>
      </c>
      <c r="H61">
        <f t="shared" si="10"/>
        <v>687.830019393866</v>
      </c>
      <c r="I61">
        <f t="shared" si="11"/>
        <v>-40.5946999284454</v>
      </c>
      <c r="J61">
        <f t="shared" si="12"/>
        <v>689.026897328142</v>
      </c>
      <c r="K61" s="6">
        <f t="shared" si="13"/>
        <v>76.2918</v>
      </c>
      <c r="N61" s="6">
        <f t="shared" si="14"/>
        <v>178.2</v>
      </c>
      <c r="O61" s="6">
        <f t="shared" si="15"/>
        <v>4.42891703001608</v>
      </c>
      <c r="P61" s="7">
        <f t="shared" si="16"/>
        <v>-140.930425011568</v>
      </c>
      <c r="Q61" s="7"/>
      <c r="R61" s="7">
        <f t="shared" si="17"/>
        <v>357.485019645907</v>
      </c>
      <c r="S61" s="7">
        <f t="shared" si="18"/>
        <v>-91.6047762575193</v>
      </c>
      <c r="T61" s="7">
        <f t="shared" si="19"/>
        <v>-91.6047762575193</v>
      </c>
      <c r="U61" s="7">
        <f t="shared" si="20"/>
        <v>-1162.01921077071</v>
      </c>
      <c r="V61" s="7">
        <f t="shared" si="21"/>
        <v>-1162.01921077071</v>
      </c>
      <c r="W61" s="7">
        <f t="shared" si="22"/>
        <v>-104.869316312817</v>
      </c>
      <c r="X61" s="7">
        <f t="shared" si="23"/>
        <v>1166.74171079297</v>
      </c>
      <c r="Y61" s="7">
        <f t="shared" si="24"/>
        <v>-21.4198927417226</v>
      </c>
    </row>
    <row r="62" ht="14.25">
      <c r="A62">
        <v>98</v>
      </c>
      <c r="B62">
        <f t="shared" si="6"/>
        <v>29.4</v>
      </c>
      <c r="E62">
        <f t="shared" si="7"/>
        <v>19.11</v>
      </c>
      <c r="F62">
        <f t="shared" si="8"/>
        <v>19.11</v>
      </c>
      <c r="G62">
        <f t="shared" si="9"/>
        <v>684.59543559773</v>
      </c>
      <c r="H62">
        <f t="shared" si="10"/>
        <v>684.59543559773</v>
      </c>
      <c r="I62">
        <f t="shared" si="11"/>
        <v>-40.7896999284454</v>
      </c>
      <c r="J62">
        <f t="shared" si="12"/>
        <v>685.809528995841</v>
      </c>
      <c r="K62" s="6">
        <f t="shared" si="13"/>
        <v>75.9876</v>
      </c>
      <c r="N62" s="6">
        <f t="shared" si="14"/>
        <v>176.4</v>
      </c>
      <c r="O62" s="6">
        <f t="shared" si="15"/>
        <v>8.85346325363322</v>
      </c>
      <c r="P62" s="7">
        <f t="shared" si="16"/>
        <v>-140.721768708386</v>
      </c>
      <c r="Q62" s="7"/>
      <c r="R62" s="7">
        <f t="shared" si="17"/>
        <v>360.360974691258</v>
      </c>
      <c r="S62" s="7">
        <f t="shared" si="18"/>
        <v>-91.4691496604511</v>
      </c>
      <c r="T62" s="7">
        <f t="shared" si="19"/>
        <v>-91.4691496604511</v>
      </c>
      <c r="U62" s="7">
        <f t="shared" si="20"/>
        <v>-1156.89353473458</v>
      </c>
      <c r="V62" s="7">
        <f t="shared" si="21"/>
        <v>-1156.89353473458</v>
      </c>
      <c r="W62" s="7">
        <f t="shared" si="22"/>
        <v>-117.985139271458</v>
      </c>
      <c r="X62" s="7">
        <f t="shared" si="23"/>
        <v>1162.894296056</v>
      </c>
      <c r="Y62" s="7">
        <f t="shared" si="24"/>
        <v>-42.7249869580823</v>
      </c>
    </row>
    <row r="63" ht="14.25">
      <c r="A63">
        <v>97</v>
      </c>
      <c r="B63">
        <f t="shared" si="6"/>
        <v>29.1</v>
      </c>
      <c r="E63">
        <f t="shared" si="7"/>
        <v>18.915</v>
      </c>
      <c r="F63">
        <f t="shared" si="8"/>
        <v>18.915</v>
      </c>
      <c r="G63">
        <f t="shared" si="9"/>
        <v>681.360851801594</v>
      </c>
      <c r="H63">
        <f t="shared" si="10"/>
        <v>681.360851801594</v>
      </c>
      <c r="I63">
        <f t="shared" si="11"/>
        <v>-40.9846999284454</v>
      </c>
      <c r="J63">
        <f t="shared" si="12"/>
        <v>682.592379093129</v>
      </c>
      <c r="K63" s="6">
        <f t="shared" si="13"/>
        <v>75.6834</v>
      </c>
      <c r="N63" s="6">
        <f t="shared" si="14"/>
        <v>174.6</v>
      </c>
      <c r="O63" s="6">
        <f t="shared" si="15"/>
        <v>13.2692721779105</v>
      </c>
      <c r="P63" s="7">
        <f t="shared" si="16"/>
        <v>-140.374237009034</v>
      </c>
      <c r="Q63" s="7"/>
      <c r="R63" s="7">
        <f t="shared" si="17"/>
        <v>363.231250492038</v>
      </c>
      <c r="S63" s="7">
        <f t="shared" si="18"/>
        <v>-91.2432540558723</v>
      </c>
      <c r="T63" s="7">
        <f t="shared" si="19"/>
        <v>-91.2432540558723</v>
      </c>
      <c r="U63" s="7">
        <f t="shared" si="20"/>
        <v>-1150.27619092257</v>
      </c>
      <c r="V63" s="7">
        <f t="shared" si="21"/>
        <v>-1150.27619092257</v>
      </c>
      <c r="W63" s="7">
        <f t="shared" si="22"/>
        <v>-130.984525142158</v>
      </c>
      <c r="X63" s="7">
        <f t="shared" si="23"/>
        <v>1157.70992102083</v>
      </c>
      <c r="Y63" s="7">
        <f t="shared" si="24"/>
        <v>-63.8009670479576</v>
      </c>
    </row>
    <row r="64" ht="14.25">
      <c r="A64">
        <v>96</v>
      </c>
      <c r="B64">
        <f t="shared" si="6"/>
        <v>28.8</v>
      </c>
      <c r="E64">
        <f t="shared" si="7"/>
        <v>18.72</v>
      </c>
      <c r="F64">
        <f t="shared" si="8"/>
        <v>18.72</v>
      </c>
      <c r="G64">
        <f t="shared" si="9"/>
        <v>678.126268005457</v>
      </c>
      <c r="H64">
        <f t="shared" si="10"/>
        <v>678.126268005457</v>
      </c>
      <c r="I64">
        <f t="shared" si="11"/>
        <v>-41.1796999284454</v>
      </c>
      <c r="J64">
        <f t="shared" si="12"/>
        <v>679.375450723093</v>
      </c>
      <c r="K64" s="6">
        <f t="shared" si="13"/>
        <v>75.3792</v>
      </c>
      <c r="N64" s="6">
        <f t="shared" si="14"/>
        <v>172.8</v>
      </c>
      <c r="O64" s="6">
        <f t="shared" si="15"/>
        <v>17.6719859325669</v>
      </c>
      <c r="P64" s="7">
        <f t="shared" si="16"/>
        <v>-139.888172885341</v>
      </c>
      <c r="Q64" s="7"/>
      <c r="R64" s="7">
        <f t="shared" si="17"/>
        <v>366.093014432565</v>
      </c>
      <c r="S64" s="7">
        <f t="shared" si="18"/>
        <v>-90.9273123754719</v>
      </c>
      <c r="T64" s="7">
        <f t="shared" si="19"/>
        <v>-90.9273123754719</v>
      </c>
      <c r="U64" s="7">
        <f t="shared" si="20"/>
        <v>-1142.17370985411</v>
      </c>
      <c r="V64" s="7">
        <f t="shared" si="21"/>
        <v>-1142.17370985411</v>
      </c>
      <c r="W64" s="7">
        <f t="shared" si="22"/>
        <v>-143.854645100495</v>
      </c>
      <c r="X64" s="7">
        <f t="shared" si="23"/>
        <v>1151.19717789738</v>
      </c>
      <c r="Y64" s="7">
        <f t="shared" si="24"/>
        <v>-84.534481323355</v>
      </c>
    </row>
    <row r="65" ht="14.25">
      <c r="A65">
        <v>95</v>
      </c>
      <c r="B65">
        <f t="shared" si="6"/>
        <v>28.5</v>
      </c>
      <c r="E65">
        <f t="shared" si="7"/>
        <v>18.525</v>
      </c>
      <c r="F65">
        <f t="shared" si="8"/>
        <v>18.525</v>
      </c>
      <c r="G65">
        <f t="shared" si="9"/>
        <v>674.891684209322</v>
      </c>
      <c r="H65">
        <f t="shared" si="10"/>
        <v>674.891684209322</v>
      </c>
      <c r="I65">
        <f t="shared" si="11"/>
        <v>-41.3746999284454</v>
      </c>
      <c r="J65">
        <f t="shared" si="12"/>
        <v>676.158747047661</v>
      </c>
      <c r="K65" s="6">
        <f t="shared" si="13"/>
        <v>75.075</v>
      </c>
      <c r="N65" s="6">
        <f t="shared" si="14"/>
        <v>171</v>
      </c>
      <c r="O65" s="6">
        <f t="shared" si="15"/>
        <v>22.0572595706726</v>
      </c>
      <c r="P65" s="7">
        <f t="shared" si="16"/>
        <v>-139.264056023914</v>
      </c>
      <c r="Q65" s="7"/>
      <c r="R65" s="7">
        <f t="shared" si="17"/>
        <v>368.943442297334</v>
      </c>
      <c r="S65" s="7">
        <f t="shared" si="18"/>
        <v>-90.5216364155444</v>
      </c>
      <c r="T65" s="7">
        <f t="shared" si="19"/>
        <v>-90.5216364155444</v>
      </c>
      <c r="U65" s="7">
        <f t="shared" si="20"/>
        <v>-1132.59408769979</v>
      </c>
      <c r="V65" s="7">
        <f t="shared" si="21"/>
        <v>-1132.59408769979</v>
      </c>
      <c r="W65" s="7">
        <f t="shared" si="22"/>
        <v>-156.5827978919</v>
      </c>
      <c r="X65" s="7">
        <f t="shared" si="23"/>
        <v>1143.3667565957</v>
      </c>
      <c r="Y65" s="7">
        <f t="shared" si="24"/>
        <v>-104.813619135248</v>
      </c>
    </row>
    <row r="66" ht="14.25">
      <c r="A66">
        <v>94</v>
      </c>
      <c r="B66">
        <f t="shared" si="6"/>
        <v>28.2</v>
      </c>
      <c r="E66">
        <f t="shared" si="7"/>
        <v>18.33</v>
      </c>
      <c r="F66">
        <f t="shared" si="8"/>
        <v>18.33</v>
      </c>
      <c r="G66">
        <f t="shared" si="9"/>
        <v>671.657100413185</v>
      </c>
      <c r="H66">
        <f t="shared" si="10"/>
        <v>671.657100413185</v>
      </c>
      <c r="I66">
        <f t="shared" si="11"/>
        <v>-41.5696999284454</v>
      </c>
      <c r="J66">
        <f t="shared" si="12"/>
        <v>672.942271288993</v>
      </c>
      <c r="K66" s="6">
        <f t="shared" si="13"/>
        <v>74.7708</v>
      </c>
      <c r="N66" s="6">
        <f t="shared" si="14"/>
        <v>169.2</v>
      </c>
      <c r="O66" s="6">
        <f t="shared" si="15"/>
        <v>26.4207653565872</v>
      </c>
      <c r="P66" s="7">
        <f t="shared" si="16"/>
        <v>-138.502502352745</v>
      </c>
      <c r="Q66" s="7"/>
      <c r="R66" s="7">
        <f t="shared" si="17"/>
        <v>371.779721058178</v>
      </c>
      <c r="S66" s="7">
        <f t="shared" si="18"/>
        <v>-90.0266265292843</v>
      </c>
      <c r="T66" s="7">
        <f t="shared" si="19"/>
        <v>-90.0266265292843</v>
      </c>
      <c r="U66" s="7">
        <f t="shared" si="20"/>
        <v>-1121.5467783901</v>
      </c>
      <c r="V66" s="7">
        <f t="shared" si="21"/>
        <v>-1121.5467783901</v>
      </c>
      <c r="W66" s="7">
        <f t="shared" si="22"/>
        <v>-169.156422366256</v>
      </c>
      <c r="X66" s="7">
        <f t="shared" si="23"/>
        <v>1134.23148931114</v>
      </c>
      <c r="Y66" s="7">
        <f t="shared" si="24"/>
        <v>-124.528382223987</v>
      </c>
    </row>
    <row r="67" ht="14.25">
      <c r="A67">
        <v>93</v>
      </c>
      <c r="B67">
        <f t="shared" si="6"/>
        <v>27.9</v>
      </c>
      <c r="E67">
        <f t="shared" si="7"/>
        <v>18.135</v>
      </c>
      <c r="F67">
        <f t="shared" si="8"/>
        <v>18.135</v>
      </c>
      <c r="G67">
        <f t="shared" si="9"/>
        <v>668.422516617049</v>
      </c>
      <c r="H67">
        <f t="shared" si="10"/>
        <v>668.422516617049</v>
      </c>
      <c r="I67">
        <f t="shared" si="11"/>
        <v>-41.7646999284454</v>
      </c>
      <c r="J67">
        <f t="shared" si="12"/>
        <v>669.726026730918</v>
      </c>
      <c r="K67" s="6">
        <f t="shared" si="13"/>
        <v>74.4666</v>
      </c>
      <c r="N67" s="6">
        <f t="shared" si="14"/>
        <v>167.4</v>
      </c>
      <c r="O67" s="6">
        <f t="shared" si="15"/>
        <v>30.7581970369125</v>
      </c>
      <c r="P67" s="7">
        <f t="shared" si="16"/>
        <v>-137.604263433363</v>
      </c>
      <c r="Q67" s="7"/>
      <c r="R67" s="7">
        <f t="shared" si="17"/>
        <v>374.59905165039</v>
      </c>
      <c r="S67" s="7">
        <f t="shared" si="18"/>
        <v>-89.4427712316862</v>
      </c>
      <c r="T67" s="7">
        <f t="shared" si="19"/>
        <v>-89.4427712316862</v>
      </c>
      <c r="U67" s="7">
        <f t="shared" si="20"/>
        <v>-1109.04268428559</v>
      </c>
      <c r="V67" s="7">
        <f t="shared" si="21"/>
        <v>-1109.04268428559</v>
      </c>
      <c r="W67" s="7">
        <f t="shared" si="22"/>
        <v>-181.563109874239</v>
      </c>
      <c r="X67" s="7">
        <f t="shared" si="23"/>
        <v>1123.80640611922</v>
      </c>
      <c r="Y67" s="7">
        <f t="shared" si="24"/>
        <v>-143.571148404768</v>
      </c>
    </row>
    <row r="68" ht="14.25">
      <c r="A68">
        <v>92</v>
      </c>
      <c r="B68">
        <f t="shared" si="6"/>
        <v>27.6</v>
      </c>
      <c r="E68">
        <f t="shared" si="7"/>
        <v>17.94</v>
      </c>
      <c r="F68">
        <f t="shared" si="8"/>
        <v>17.94</v>
      </c>
      <c r="G68">
        <f t="shared" si="9"/>
        <v>665.187932820913</v>
      </c>
      <c r="H68">
        <f t="shared" si="10"/>
        <v>665.187932820913</v>
      </c>
      <c r="I68">
        <f t="shared" si="11"/>
        <v>-41.9596999284454</v>
      </c>
      <c r="J68">
        <f t="shared" si="12"/>
        <v>666.510016720413</v>
      </c>
      <c r="K68" s="6">
        <f t="shared" si="13"/>
        <v>74.1624</v>
      </c>
      <c r="N68" s="6">
        <f t="shared" si="14"/>
        <v>165.6</v>
      </c>
      <c r="O68" s="6">
        <f t="shared" si="15"/>
        <v>35.0652740902446</v>
      </c>
      <c r="P68" s="7">
        <f t="shared" si="16"/>
        <v>-136.570225719137</v>
      </c>
      <c r="Q68" s="7"/>
      <c r="R68" s="7">
        <f t="shared" si="17"/>
        <v>377.398651735056</v>
      </c>
      <c r="S68" s="7">
        <f t="shared" si="18"/>
        <v>-88.770646717439</v>
      </c>
      <c r="T68" s="7">
        <f t="shared" si="19"/>
        <v>-88.770646717439</v>
      </c>
      <c r="U68" s="7">
        <f t="shared" si="20"/>
        <v>-1095.09414541749</v>
      </c>
      <c r="V68" s="7">
        <f t="shared" si="21"/>
        <v>-1095.09414541749</v>
      </c>
      <c r="W68" s="7">
        <f t="shared" si="22"/>
        <v>-193.790616513156</v>
      </c>
      <c r="X68" s="7">
        <f t="shared" si="23"/>
        <v>1112.10880329948</v>
      </c>
      <c r="Y68" s="7">
        <f t="shared" si="24"/>
        <v>-161.837125729034</v>
      </c>
    </row>
    <row r="69" ht="14.25">
      <c r="A69">
        <v>91</v>
      </c>
      <c r="B69">
        <f t="shared" si="6"/>
        <v>27.3</v>
      </c>
      <c r="E69">
        <f t="shared" si="7"/>
        <v>17.745</v>
      </c>
      <c r="F69">
        <f t="shared" si="8"/>
        <v>17.745</v>
      </c>
      <c r="G69">
        <f t="shared" si="9"/>
        <v>661.953349024777</v>
      </c>
      <c r="H69">
        <f t="shared" si="10"/>
        <v>661.953349024777</v>
      </c>
      <c r="I69">
        <f t="shared" si="11"/>
        <v>-42.1546999284454</v>
      </c>
      <c r="J69">
        <f t="shared" si="12"/>
        <v>663.294244669118</v>
      </c>
      <c r="K69" s="6">
        <f t="shared" si="13"/>
        <v>73.8582</v>
      </c>
      <c r="N69" s="6">
        <f t="shared" si="14"/>
        <v>163.8</v>
      </c>
      <c r="O69" s="6">
        <f t="shared" si="15"/>
        <v>39.3377459515313</v>
      </c>
      <c r="P69" s="7">
        <f t="shared" si="16"/>
        <v>-135.401409680449</v>
      </c>
      <c r="Q69" s="7"/>
      <c r="R69" s="7">
        <f t="shared" si="17"/>
        <v>380.175758444892</v>
      </c>
      <c r="S69" s="7">
        <f t="shared" si="18"/>
        <v>-88.0109162922918</v>
      </c>
      <c r="T69" s="7">
        <f t="shared" si="19"/>
        <v>-88.0109162922918</v>
      </c>
      <c r="U69" s="7">
        <f t="shared" si="20"/>
        <v>-1079.71492730964</v>
      </c>
      <c r="V69" s="7">
        <f t="shared" si="21"/>
        <v>-1079.71492730964</v>
      </c>
      <c r="W69" s="7">
        <f t="shared" si="22"/>
        <v>-205.826875210199</v>
      </c>
      <c r="X69" s="7">
        <f t="shared" si="23"/>
        <v>1099.15832654539</v>
      </c>
      <c r="Y69" s="7">
        <f t="shared" si="24"/>
        <v>-179.224795300382</v>
      </c>
    </row>
    <row r="70" ht="14.25">
      <c r="A70">
        <v>90</v>
      </c>
      <c r="B70">
        <f t="shared" si="6"/>
        <v>27</v>
      </c>
      <c r="E70">
        <f t="shared" si="7"/>
        <v>17.55</v>
      </c>
      <c r="F70">
        <f t="shared" si="8"/>
        <v>17.55</v>
      </c>
      <c r="G70">
        <f t="shared" si="9"/>
        <v>658.718765228641</v>
      </c>
      <c r="H70">
        <f t="shared" si="10"/>
        <v>658.718765228641</v>
      </c>
      <c r="I70">
        <f t="shared" si="11"/>
        <v>-42.3496999284454</v>
      </c>
      <c r="J70">
        <f t="shared" si="12"/>
        <v>660.078714054903</v>
      </c>
      <c r="K70" s="6">
        <f t="shared" si="13"/>
        <v>73.554</v>
      </c>
      <c r="N70" s="6">
        <f t="shared" si="14"/>
        <v>162</v>
      </c>
      <c r="O70" s="6">
        <f t="shared" si="15"/>
        <v>43.5713962068676</v>
      </c>
      <c r="P70" s="7">
        <f t="shared" si="16"/>
        <v>-134.098968797617</v>
      </c>
      <c r="Q70" s="7"/>
      <c r="R70" s="7">
        <f t="shared" si="17"/>
        <v>382.927631110861</v>
      </c>
      <c r="S70" s="7">
        <f t="shared" si="18"/>
        <v>-87.1643297184508</v>
      </c>
      <c r="T70" s="7">
        <f t="shared" si="19"/>
        <v>-87.1643297184508</v>
      </c>
      <c r="U70" s="7">
        <f t="shared" si="20"/>
        <v>-1062.92020739355</v>
      </c>
      <c r="V70" s="7">
        <f t="shared" si="21"/>
        <v>-1062.92020739355</v>
      </c>
      <c r="W70" s="7">
        <f t="shared" si="22"/>
        <v>-217.660007631189</v>
      </c>
      <c r="X70" s="7">
        <f t="shared" si="23"/>
        <v>1084.97707174279</v>
      </c>
      <c r="Y70" s="7">
        <f t="shared" si="24"/>
        <v>-195.63634096854</v>
      </c>
    </row>
    <row r="71" ht="14.25">
      <c r="A71">
        <v>89</v>
      </c>
      <c r="B71">
        <f t="shared" si="6"/>
        <v>26.7</v>
      </c>
      <c r="E71">
        <f t="shared" si="7"/>
        <v>17.355</v>
      </c>
      <c r="F71">
        <f t="shared" si="8"/>
        <v>17.355</v>
      </c>
      <c r="G71">
        <f t="shared" si="9"/>
        <v>655.484181432505</v>
      </c>
      <c r="H71">
        <f t="shared" si="10"/>
        <v>655.484181432505</v>
      </c>
      <c r="I71">
        <f t="shared" si="11"/>
        <v>-42.5446999284454</v>
      </c>
      <c r="J71">
        <f t="shared" si="12"/>
        <v>656.863428423476</v>
      </c>
      <c r="K71" s="6">
        <f t="shared" si="13"/>
        <v>73.2498</v>
      </c>
      <c r="N71" s="6">
        <f t="shared" si="14"/>
        <v>160.2</v>
      </c>
      <c r="O71" s="6">
        <f t="shared" si="15"/>
        <v>47.7620467545861</v>
      </c>
      <c r="P71" s="7">
        <f t="shared" si="16"/>
        <v>-132.664188422546</v>
      </c>
      <c r="Q71" s="7"/>
      <c r="R71" s="7">
        <f t="shared" si="17"/>
        <v>385.651553966878</v>
      </c>
      <c r="S71" s="7">
        <f t="shared" si="18"/>
        <v>-86.2317224746548</v>
      </c>
      <c r="T71" s="7">
        <f t="shared" si="19"/>
        <v>-86.2317224746548</v>
      </c>
      <c r="U71" s="7">
        <f t="shared" si="20"/>
        <v>-1044.72656003014</v>
      </c>
      <c r="V71" s="7">
        <f t="shared" si="21"/>
        <v>-1044.72656003014</v>
      </c>
      <c r="W71" s="7">
        <f t="shared" si="22"/>
        <v>-229.278335903059</v>
      </c>
      <c r="X71" s="7">
        <f t="shared" si="23"/>
        <v>1069.58970663844</v>
      </c>
      <c r="Y71" s="7">
        <f t="shared" si="24"/>
        <v>-210.978064176922</v>
      </c>
    </row>
    <row r="72" ht="14.25">
      <c r="A72">
        <v>88</v>
      </c>
      <c r="B72">
        <f t="shared" si="6"/>
        <v>26.4</v>
      </c>
      <c r="E72">
        <f t="shared" si="7"/>
        <v>17.16</v>
      </c>
      <c r="F72">
        <f t="shared" si="8"/>
        <v>17.16</v>
      </c>
      <c r="G72">
        <f t="shared" si="9"/>
        <v>652.249597636369</v>
      </c>
      <c r="H72">
        <f t="shared" si="10"/>
        <v>652.249597636369</v>
      </c>
      <c r="I72">
        <f t="shared" si="11"/>
        <v>-42.7396999284454</v>
      </c>
      <c r="J72">
        <f t="shared" si="12"/>
        <v>653.648391390034</v>
      </c>
      <c r="K72" s="6">
        <f t="shared" si="13"/>
        <v>72.9456</v>
      </c>
      <c r="N72" s="6">
        <f t="shared" si="14"/>
        <v>158.4</v>
      </c>
      <c r="O72" s="6">
        <f t="shared" si="15"/>
        <v>51.9055619285396</v>
      </c>
      <c r="P72" s="7">
        <f t="shared" si="16"/>
        <v>-131.098484510243</v>
      </c>
      <c r="Q72" s="7"/>
      <c r="R72" s="7">
        <f t="shared" si="17"/>
        <v>388.344838829947</v>
      </c>
      <c r="S72" s="7">
        <f t="shared" si="18"/>
        <v>-85.2140149316582</v>
      </c>
      <c r="T72" s="7">
        <f t="shared" si="19"/>
        <v>-85.2140149316582</v>
      </c>
      <c r="U72" s="7">
        <f t="shared" si="20"/>
        <v>-1025.15194015281</v>
      </c>
      <c r="V72" s="7">
        <f t="shared" si="21"/>
        <v>-1025.15194015281</v>
      </c>
      <c r="W72" s="7">
        <f t="shared" si="22"/>
        <v>-240.670394138501</v>
      </c>
      <c r="X72" s="7">
        <f t="shared" si="23"/>
        <v>1053.0236175005</v>
      </c>
      <c r="Y72" s="7">
        <f t="shared" si="24"/>
        <v>-225.160782298133</v>
      </c>
    </row>
    <row r="73" ht="14.25">
      <c r="A73">
        <v>87</v>
      </c>
      <c r="B73">
        <f t="shared" si="6"/>
        <v>26.1</v>
      </c>
      <c r="E73">
        <f t="shared" si="7"/>
        <v>16.965</v>
      </c>
      <c r="F73">
        <f t="shared" si="8"/>
        <v>16.965</v>
      </c>
      <c r="G73">
        <f t="shared" si="9"/>
        <v>649.015013840233</v>
      </c>
      <c r="H73">
        <f t="shared" si="10"/>
        <v>649.015013840233</v>
      </c>
      <c r="I73">
        <f t="shared" si="11"/>
        <v>-42.9346999284454</v>
      </c>
      <c r="J73">
        <f t="shared" si="12"/>
        <v>650.433606640973</v>
      </c>
      <c r="K73" s="6">
        <f t="shared" si="13"/>
        <v>72.6414</v>
      </c>
      <c r="N73" s="6">
        <f t="shared" si="14"/>
        <v>156.6</v>
      </c>
      <c r="O73" s="6">
        <f t="shared" si="15"/>
        <v>55.9978525795041</v>
      </c>
      <c r="P73" s="7">
        <f t="shared" si="16"/>
        <v>-129.403402221441</v>
      </c>
      <c r="Q73" s="7"/>
      <c r="R73" s="7">
        <f t="shared" si="17"/>
        <v>391.004827753074</v>
      </c>
      <c r="S73" s="7">
        <f t="shared" si="18"/>
        <v>-84.1122114439369</v>
      </c>
      <c r="T73" s="7">
        <f t="shared" si="19"/>
        <v>-84.1122114439369</v>
      </c>
      <c r="U73" s="7">
        <f t="shared" si="20"/>
        <v>-1004.21566554809</v>
      </c>
      <c r="V73" s="7">
        <f t="shared" si="21"/>
        <v>-1004.21566554809</v>
      </c>
      <c r="W73" s="7">
        <f t="shared" si="22"/>
        <v>-251.824939751418</v>
      </c>
      <c r="X73" s="7">
        <f t="shared" si="23"/>
        <v>1035.30908583524</v>
      </c>
      <c r="Y73" s="7">
        <f t="shared" si="24"/>
        <v>-238.100208857186</v>
      </c>
    </row>
    <row r="74" ht="14.25">
      <c r="A74">
        <v>86</v>
      </c>
      <c r="B74">
        <f t="shared" si="6"/>
        <v>25.8</v>
      </c>
      <c r="E74">
        <f t="shared" si="7"/>
        <v>16.77</v>
      </c>
      <c r="F74">
        <f t="shared" si="8"/>
        <v>16.77</v>
      </c>
      <c r="G74">
        <f t="shared" si="9"/>
        <v>645.780430044097</v>
      </c>
      <c r="H74">
        <f t="shared" si="10"/>
        <v>645.780430044097</v>
      </c>
      <c r="I74">
        <f t="shared" si="11"/>
        <v>-43.1296999284454</v>
      </c>
      <c r="J74">
        <f t="shared" si="12"/>
        <v>647.219077935637</v>
      </c>
      <c r="K74" s="6">
        <f t="shared" si="13"/>
        <v>72.3372</v>
      </c>
      <c r="N74" s="6">
        <f t="shared" si="14"/>
        <v>154.8</v>
      </c>
      <c r="O74" s="6">
        <f t="shared" si="15"/>
        <v>60.0348801106752</v>
      </c>
      <c r="P74" s="7">
        <f t="shared" si="16"/>
        <v>-127.580614397709</v>
      </c>
      <c r="Q74" s="7"/>
      <c r="R74" s="7">
        <f t="shared" si="17"/>
        <v>393.628895648336</v>
      </c>
      <c r="S74" s="7">
        <f t="shared" si="18"/>
        <v>-82.9273993585107</v>
      </c>
      <c r="T74" s="7">
        <f t="shared" si="19"/>
        <v>-82.9273993585107</v>
      </c>
      <c r="U74" s="7">
        <f t="shared" si="20"/>
        <v>-981.938397791366</v>
      </c>
      <c r="V74" s="7">
        <f t="shared" si="21"/>
        <v>-981.938397791366</v>
      </c>
      <c r="W74" s="7">
        <f t="shared" si="22"/>
        <v>-262.730964551993</v>
      </c>
      <c r="X74" s="7">
        <f t="shared" si="23"/>
        <v>1016.47950141235</v>
      </c>
      <c r="Y74" s="7">
        <f t="shared" si="24"/>
        <v>-249.717314113978</v>
      </c>
    </row>
    <row r="75" ht="14.25">
      <c r="A75">
        <v>85</v>
      </c>
      <c r="B75">
        <f t="shared" si="6"/>
        <v>25.5</v>
      </c>
      <c r="E75">
        <f t="shared" si="7"/>
        <v>16.575</v>
      </c>
      <c r="F75">
        <f t="shared" si="8"/>
        <v>16.575</v>
      </c>
      <c r="G75">
        <f t="shared" si="9"/>
        <v>642.545846247961</v>
      </c>
      <c r="H75">
        <f t="shared" si="10"/>
        <v>642.545846247961</v>
      </c>
      <c r="I75">
        <f t="shared" si="11"/>
        <v>-43.3246999284454</v>
      </c>
      <c r="J75">
        <f t="shared" si="12"/>
        <v>644.004809108129</v>
      </c>
      <c r="K75" s="6">
        <f t="shared" si="13"/>
        <v>72.033</v>
      </c>
      <c r="N75" s="6">
        <f t="shared" si="14"/>
        <v>153</v>
      </c>
      <c r="O75" s="6">
        <f t="shared" si="15"/>
        <v>64.0126604632761</v>
      </c>
      <c r="P75" s="7">
        <f t="shared" si="16"/>
        <v>-125.63191991056</v>
      </c>
      <c r="Q75" s="7"/>
      <c r="R75" s="7">
        <f t="shared" si="17"/>
        <v>396.214452877526</v>
      </c>
      <c r="S75" s="7">
        <f t="shared" si="18"/>
        <v>-81.6607479418639</v>
      </c>
      <c r="T75" s="7">
        <f t="shared" si="19"/>
        <v>-81.6607479418639</v>
      </c>
      <c r="U75" s="7">
        <f t="shared" si="20"/>
        <v>-958.342121856337</v>
      </c>
      <c r="V75" s="7">
        <f t="shared" si="21"/>
        <v>-958.342121856337</v>
      </c>
      <c r="W75" s="7">
        <f t="shared" si="22"/>
        <v>-273.377705610449</v>
      </c>
      <c r="X75" s="7">
        <f t="shared" si="23"/>
        <v>996.571619327452</v>
      </c>
      <c r="Y75" s="7">
        <f t="shared" si="24"/>
        <v>-259.938664554405</v>
      </c>
    </row>
    <row r="76" ht="14.25">
      <c r="A76">
        <v>84</v>
      </c>
      <c r="B76">
        <f t="shared" si="6"/>
        <v>25.2</v>
      </c>
      <c r="E76">
        <f t="shared" si="7"/>
        <v>16.38</v>
      </c>
      <c r="F76">
        <f t="shared" si="8"/>
        <v>16.38</v>
      </c>
      <c r="G76">
        <f t="shared" si="9"/>
        <v>639.311262451825</v>
      </c>
      <c r="H76">
        <f t="shared" si="10"/>
        <v>639.311262451825</v>
      </c>
      <c r="I76">
        <f t="shared" si="11"/>
        <v>-43.5196999284454</v>
      </c>
      <c r="J76">
        <f t="shared" si="12"/>
        <v>640.790804069166</v>
      </c>
      <c r="K76" s="6">
        <f t="shared" si="13"/>
        <v>71.7288</v>
      </c>
      <c r="N76" s="6">
        <f t="shared" si="14"/>
        <v>151.2</v>
      </c>
      <c r="O76" s="6">
        <f t="shared" si="15"/>
        <v>67.9272680483419</v>
      </c>
      <c r="P76" s="7">
        <f t="shared" si="16"/>
        <v>-123.559241886185</v>
      </c>
      <c r="Q76" s="7"/>
      <c r="R76" s="7">
        <f t="shared" si="17"/>
        <v>398.758947807819</v>
      </c>
      <c r="S76" s="7">
        <f t="shared" si="18"/>
        <v>-80.3135072260201</v>
      </c>
      <c r="T76" s="7">
        <f t="shared" si="19"/>
        <v>-80.3135072260201</v>
      </c>
      <c r="U76" s="7">
        <f t="shared" si="20"/>
        <v>-933.450124418541</v>
      </c>
      <c r="V76" s="7">
        <f t="shared" si="21"/>
        <v>-933.450124418541</v>
      </c>
      <c r="W76" s="7">
        <f t="shared" si="22"/>
        <v>-283.754655878758</v>
      </c>
      <c r="X76" s="7">
        <f t="shared" si="23"/>
        <v>975.625870664499</v>
      </c>
      <c r="Y76" s="7">
        <f t="shared" si="24"/>
        <v>-268.696739923044</v>
      </c>
    </row>
    <row r="77" ht="14.25">
      <c r="A77">
        <v>83</v>
      </c>
      <c r="B77">
        <f t="shared" si="6"/>
        <v>24.9</v>
      </c>
      <c r="E77">
        <f t="shared" si="7"/>
        <v>16.185</v>
      </c>
      <c r="F77">
        <f t="shared" si="8"/>
        <v>16.185</v>
      </c>
      <c r="G77">
        <f t="shared" si="9"/>
        <v>636.076678655689</v>
      </c>
      <c r="H77">
        <f t="shared" si="10"/>
        <v>636.076678655689</v>
      </c>
      <c r="I77">
        <f t="shared" si="11"/>
        <v>-43.7146999284454</v>
      </c>
      <c r="J77">
        <f t="shared" si="12"/>
        <v>637.577066807995</v>
      </c>
      <c r="K77" s="6">
        <f t="shared" si="13"/>
        <v>71.4246</v>
      </c>
      <c r="N77" s="6">
        <f t="shared" si="14"/>
        <v>149.4</v>
      </c>
      <c r="O77" s="6">
        <f t="shared" si="15"/>
        <v>71.7748396208023</v>
      </c>
      <c r="P77" s="7">
        <f t="shared" si="16"/>
        <v>-121.364625807556</v>
      </c>
      <c r="Q77" s="7"/>
      <c r="R77" s="7">
        <f t="shared" si="17"/>
        <v>401.259869329918</v>
      </c>
      <c r="S77" s="7">
        <f t="shared" si="18"/>
        <v>-78.8870067749114</v>
      </c>
      <c r="T77" s="7">
        <f t="shared" si="19"/>
        <v>-78.8870067749114</v>
      </c>
      <c r="U77" s="7">
        <f t="shared" si="20"/>
        <v>-907.286970874202</v>
      </c>
      <c r="V77" s="7">
        <f t="shared" si="21"/>
        <v>-907.286970874202</v>
      </c>
      <c r="W77" s="7">
        <f t="shared" si="22"/>
        <v>-293.851574559829</v>
      </c>
      <c r="X77" s="7">
        <f t="shared" si="23"/>
        <v>953.686738604126</v>
      </c>
      <c r="Y77" s="7">
        <f t="shared" si="24"/>
        <v>-275.930226519376</v>
      </c>
    </row>
    <row r="78" ht="14.25">
      <c r="A78">
        <v>82</v>
      </c>
      <c r="B78">
        <f t="shared" si="6"/>
        <v>24.6</v>
      </c>
      <c r="E78">
        <f t="shared" si="7"/>
        <v>15.99</v>
      </c>
      <c r="F78">
        <f t="shared" si="8"/>
        <v>15.99</v>
      </c>
      <c r="G78">
        <f t="shared" si="9"/>
        <v>632.842094859553</v>
      </c>
      <c r="H78">
        <f t="shared" si="10"/>
        <v>632.842094859553</v>
      </c>
      <c r="I78">
        <f t="shared" si="11"/>
        <v>-43.9096999284454</v>
      </c>
      <c r="J78">
        <f t="shared" si="12"/>
        <v>634.363601394369</v>
      </c>
      <c r="K78" s="6">
        <f t="shared" si="13"/>
        <v>71.1204</v>
      </c>
      <c r="N78" s="6">
        <f t="shared" si="14"/>
        <v>147.6</v>
      </c>
      <c r="O78" s="6">
        <f t="shared" si="15"/>
        <v>75.5515780920386</v>
      </c>
      <c r="P78" s="7">
        <f t="shared" si="16"/>
        <v>-119.050237495784</v>
      </c>
      <c r="Q78" s="7"/>
      <c r="R78" s="7">
        <f t="shared" si="17"/>
        <v>403.714749336222</v>
      </c>
      <c r="S78" s="7">
        <f t="shared" si="18"/>
        <v>-77.3826543722597</v>
      </c>
      <c r="T78" s="7">
        <f t="shared" si="19"/>
        <v>-77.3826543722597</v>
      </c>
      <c r="U78" s="7">
        <f t="shared" si="20"/>
        <v>-879.878481097151</v>
      </c>
      <c r="V78" s="7">
        <f t="shared" si="21"/>
        <v>-879.878481097151</v>
      </c>
      <c r="W78" s="7">
        <f t="shared" si="22"/>
        <v>-303.658497213941</v>
      </c>
      <c r="X78" s="7">
        <f t="shared" si="23"/>
        <v>930.803214663582</v>
      </c>
      <c r="Y78" s="7">
        <f t="shared" si="24"/>
        <v>-281.584285573552</v>
      </c>
    </row>
    <row r="79" ht="14.25">
      <c r="A79">
        <v>81</v>
      </c>
      <c r="B79">
        <f t="shared" si="6"/>
        <v>24.3</v>
      </c>
      <c r="E79">
        <f t="shared" si="7"/>
        <v>15.795</v>
      </c>
      <c r="F79">
        <f t="shared" si="8"/>
        <v>15.795</v>
      </c>
      <c r="G79">
        <f t="shared" si="9"/>
        <v>629.607511063417</v>
      </c>
      <c r="H79">
        <f t="shared" si="10"/>
        <v>629.607511063417</v>
      </c>
      <c r="I79">
        <f t="shared" si="11"/>
        <v>-44.1046999284454</v>
      </c>
      <c r="J79">
        <f t="shared" si="12"/>
        <v>631.150411980574</v>
      </c>
      <c r="K79" s="6">
        <f t="shared" si="13"/>
        <v>70.8162</v>
      </c>
      <c r="N79" s="6">
        <f t="shared" si="14"/>
        <v>145.8</v>
      </c>
      <c r="O79" s="6">
        <f t="shared" si="15"/>
        <v>79.2537562771504</v>
      </c>
      <c r="P79" s="7">
        <f t="shared" si="16"/>
        <v>-116.618360972713</v>
      </c>
      <c r="Q79" s="7"/>
      <c r="R79" s="7">
        <f t="shared" si="17"/>
        <v>406.121165156544</v>
      </c>
      <c r="S79" s="7">
        <f t="shared" si="18"/>
        <v>-75.8019346322636</v>
      </c>
      <c r="T79" s="7">
        <f t="shared" si="19"/>
        <v>-75.8019346322636</v>
      </c>
      <c r="U79" s="7">
        <f t="shared" si="20"/>
        <v>-851.251703957732</v>
      </c>
      <c r="V79" s="7">
        <f t="shared" si="21"/>
        <v>-851.251703957732</v>
      </c>
      <c r="W79" s="7">
        <f t="shared" si="22"/>
        <v>-313.165745592436</v>
      </c>
      <c r="X79" s="7">
        <f t="shared" si="23"/>
        <v>907.029353275521</v>
      </c>
      <c r="Y79" s="7">
        <f t="shared" si="24"/>
        <v>-285.610795616504</v>
      </c>
    </row>
    <row r="80" ht="14.25">
      <c r="A80">
        <v>80</v>
      </c>
      <c r="B80">
        <f t="shared" si="6"/>
        <v>24</v>
      </c>
      <c r="E80">
        <f t="shared" si="7"/>
        <v>15.6</v>
      </c>
      <c r="F80">
        <f t="shared" si="8"/>
        <v>15.6</v>
      </c>
      <c r="G80">
        <f t="shared" si="9"/>
        <v>626.372927267281</v>
      </c>
      <c r="H80">
        <f t="shared" si="10"/>
        <v>626.372927267281</v>
      </c>
      <c r="I80">
        <f t="shared" si="11"/>
        <v>-44.2996999284454</v>
      </c>
      <c r="J80">
        <f t="shared" si="12"/>
        <v>627.937502803529</v>
      </c>
      <c r="K80" s="6">
        <f t="shared" si="13"/>
        <v>70.512</v>
      </c>
      <c r="N80" s="6">
        <f t="shared" si="14"/>
        <v>144</v>
      </c>
      <c r="O80" s="6">
        <f t="shared" si="15"/>
        <v>82.8777205732387</v>
      </c>
      <c r="P80" s="7">
        <f t="shared" si="16"/>
        <v>-114.071396206868</v>
      </c>
      <c r="Q80" s="7"/>
      <c r="R80" s="7">
        <f t="shared" si="17"/>
        <v>408.476741949002</v>
      </c>
      <c r="S80" s="7">
        <f t="shared" si="18"/>
        <v>-74.1464075344639</v>
      </c>
      <c r="T80" s="7">
        <f t="shared" si="19"/>
        <v>-74.1464075344639</v>
      </c>
      <c r="U80" s="7">
        <f t="shared" si="20"/>
        <v>-821.434890628829</v>
      </c>
      <c r="V80" s="7">
        <f t="shared" si="21"/>
        <v>-821.434890628829</v>
      </c>
      <c r="W80" s="7">
        <f t="shared" si="22"/>
        <v>-322.363937188991</v>
      </c>
      <c r="X80" s="7">
        <f t="shared" si="23"/>
        <v>882.42494725749</v>
      </c>
      <c r="Y80" s="7">
        <f t="shared" si="24"/>
        <v>-287.968567862268</v>
      </c>
    </row>
    <row r="81" ht="14.25">
      <c r="A81">
        <v>79</v>
      </c>
      <c r="B81">
        <f t="shared" si="6"/>
        <v>23.7</v>
      </c>
      <c r="E81">
        <f t="shared" si="7"/>
        <v>15.405</v>
      </c>
      <c r="F81">
        <f t="shared" si="8"/>
        <v>15.405</v>
      </c>
      <c r="G81">
        <f t="shared" si="9"/>
        <v>623.138343471145</v>
      </c>
      <c r="H81">
        <f t="shared" si="10"/>
        <v>623.138343471145</v>
      </c>
      <c r="I81">
        <f t="shared" si="11"/>
        <v>-44.4946999284454</v>
      </c>
      <c r="J81">
        <f t="shared" si="12"/>
        <v>624.724878186938</v>
      </c>
      <c r="K81" s="6">
        <f t="shared" si="13"/>
        <v>70.2078</v>
      </c>
      <c r="N81" s="6">
        <f t="shared" si="14"/>
        <v>142.2</v>
      </c>
      <c r="O81" s="6">
        <f t="shared" si="15"/>
        <v>86.4198945650697</v>
      </c>
      <c r="P81" s="7">
        <f t="shared" si="16"/>
        <v>-111.411856744972</v>
      </c>
      <c r="Q81" s="7"/>
      <c r="R81" s="7">
        <f t="shared" si="17"/>
        <v>410.779155043692</v>
      </c>
      <c r="S81" s="7">
        <f t="shared" si="18"/>
        <v>-72.417706884232</v>
      </c>
      <c r="T81" s="7">
        <f t="shared" si="19"/>
        <v>-72.417706884232</v>
      </c>
      <c r="U81" s="7">
        <f t="shared" si="20"/>
        <v>-790.457466705369</v>
      </c>
      <c r="V81" s="7">
        <f t="shared" si="21"/>
        <v>-790.457466705369</v>
      </c>
      <c r="W81" s="7">
        <f t="shared" si="22"/>
        <v>-331.24399449901</v>
      </c>
      <c r="X81" s="7">
        <f t="shared" si="23"/>
        <v>857.05635203406</v>
      </c>
      <c r="Y81" s="7">
        <f t="shared" si="24"/>
        <v>-288.623533727364</v>
      </c>
    </row>
    <row r="82" ht="14.25">
      <c r="A82">
        <v>78</v>
      </c>
      <c r="B82">
        <f t="shared" si="6"/>
        <v>23.4</v>
      </c>
      <c r="E82">
        <f t="shared" si="7"/>
        <v>15.21</v>
      </c>
      <c r="F82">
        <f t="shared" si="8"/>
        <v>15.21</v>
      </c>
      <c r="G82">
        <f t="shared" si="9"/>
        <v>619.903759675009</v>
      </c>
      <c r="H82">
        <f t="shared" si="10"/>
        <v>619.903759675009</v>
      </c>
      <c r="I82">
        <f t="shared" si="11"/>
        <v>-44.6896999284454</v>
      </c>
      <c r="J82">
        <f t="shared" si="12"/>
        <v>621.512542543516</v>
      </c>
      <c r="K82" s="6">
        <f t="shared" si="13"/>
        <v>69.9036</v>
      </c>
      <c r="N82" s="6">
        <f t="shared" si="14"/>
        <v>140.4</v>
      </c>
      <c r="O82" s="6">
        <f t="shared" si="15"/>
        <v>89.8767825545653</v>
      </c>
      <c r="P82" s="7">
        <f t="shared" si="16"/>
        <v>-108.642367231386</v>
      </c>
      <c r="Q82" s="7"/>
      <c r="R82" s="7">
        <f t="shared" si="17"/>
        <v>413.026132236864</v>
      </c>
      <c r="S82" s="7">
        <f t="shared" si="18"/>
        <v>-70.6175387004011</v>
      </c>
      <c r="T82" s="7">
        <f t="shared" si="19"/>
        <v>-70.6175387004011</v>
      </c>
      <c r="U82" s="7">
        <f t="shared" si="20"/>
        <v>-758.350003164817</v>
      </c>
      <c r="V82" s="7">
        <f t="shared" si="21"/>
        <v>-758.350003164817</v>
      </c>
      <c r="W82" s="7">
        <f t="shared" si="22"/>
        <v>-339.797153978031</v>
      </c>
      <c r="X82" s="7">
        <f t="shared" si="23"/>
        <v>830.997492867245</v>
      </c>
      <c r="Y82" s="7">
        <f t="shared" si="24"/>
        <v>-287.548903722554</v>
      </c>
    </row>
    <row r="83" ht="14.25">
      <c r="A83">
        <v>77</v>
      </c>
      <c r="B83">
        <f t="shared" si="6"/>
        <v>23.1</v>
      </c>
      <c r="E83">
        <f t="shared" si="7"/>
        <v>15.015</v>
      </c>
      <c r="F83">
        <f t="shared" si="8"/>
        <v>15.015</v>
      </c>
      <c r="G83">
        <f t="shared" si="9"/>
        <v>616.669175878872</v>
      </c>
      <c r="H83">
        <f t="shared" si="10"/>
        <v>616.669175878872</v>
      </c>
      <c r="I83">
        <f t="shared" si="11"/>
        <v>-44.8846999284454</v>
      </c>
      <c r="J83">
        <f t="shared" si="12"/>
        <v>618.30050037728</v>
      </c>
      <c r="K83" s="6">
        <f t="shared" si="13"/>
        <v>69.5994</v>
      </c>
      <c r="N83" s="6">
        <f t="shared" si="14"/>
        <v>138.6</v>
      </c>
      <c r="O83" s="6">
        <f t="shared" si="15"/>
        <v>93.2449730106349</v>
      </c>
      <c r="P83" s="7">
        <f t="shared" si="16"/>
        <v>-105.765660817895</v>
      </c>
      <c r="Q83" s="7"/>
      <c r="R83" s="7">
        <f t="shared" si="17"/>
        <v>415.215456033309</v>
      </c>
      <c r="S83" s="7">
        <f t="shared" si="18"/>
        <v>-68.7476795316316</v>
      </c>
      <c r="T83" s="7">
        <f t="shared" si="19"/>
        <v>-68.7476795316316</v>
      </c>
      <c r="U83" s="7">
        <f t="shared" si="20"/>
        <v>-725.144186197304</v>
      </c>
      <c r="V83" s="7">
        <f t="shared" si="21"/>
        <v>-725.144186197304</v>
      </c>
      <c r="W83" s="7">
        <f t="shared" si="22"/>
        <v>-348.014974690283</v>
      </c>
      <c r="X83" s="7">
        <f t="shared" si="23"/>
        <v>804.331096865233</v>
      </c>
      <c r="Y83" s="7">
        <f t="shared" si="24"/>
        <v>-284.725297065766</v>
      </c>
    </row>
    <row r="84" ht="14.25">
      <c r="A84">
        <v>76</v>
      </c>
      <c r="B84">
        <f t="shared" si="6"/>
        <v>22.8</v>
      </c>
      <c r="E84">
        <f t="shared" si="7"/>
        <v>14.82</v>
      </c>
      <c r="F84">
        <f t="shared" si="8"/>
        <v>14.82</v>
      </c>
      <c r="G84">
        <f t="shared" si="9"/>
        <v>613.434592082736</v>
      </c>
      <c r="H84">
        <f t="shared" si="10"/>
        <v>613.434592082736</v>
      </c>
      <c r="I84">
        <f t="shared" si="11"/>
        <v>-45.0796999284454</v>
      </c>
      <c r="J84">
        <f t="shared" si="12"/>
        <v>615.088756285914</v>
      </c>
      <c r="K84" s="6">
        <f t="shared" si="13"/>
        <v>69.2952</v>
      </c>
      <c r="N84" s="6">
        <f t="shared" si="14"/>
        <v>136.8</v>
      </c>
      <c r="O84" s="6">
        <f t="shared" si="15"/>
        <v>96.5211419359451</v>
      </c>
      <c r="P84" s="7">
        <f t="shared" si="16"/>
        <v>-102.784576466419</v>
      </c>
      <c r="Q84" s="7"/>
      <c r="R84" s="7">
        <f t="shared" si="17"/>
        <v>417.344965834761</v>
      </c>
      <c r="S84" s="7">
        <f t="shared" si="18"/>
        <v>-66.8099747031723</v>
      </c>
      <c r="T84" s="7">
        <f t="shared" si="19"/>
        <v>-66.8099747031723</v>
      </c>
      <c r="U84" s="7">
        <f t="shared" si="20"/>
        <v>-690.872785935191</v>
      </c>
      <c r="V84" s="7">
        <f t="shared" si="21"/>
        <v>-690.872785935191</v>
      </c>
      <c r="W84" s="7">
        <f t="shared" si="22"/>
        <v>-355.889346638872</v>
      </c>
      <c r="X84" s="7">
        <f t="shared" si="23"/>
        <v>777.150200023713</v>
      </c>
      <c r="Y84" s="7">
        <f t="shared" si="24"/>
        <v>-280.14084148111</v>
      </c>
    </row>
    <row r="85" ht="14.25">
      <c r="A85">
        <v>75</v>
      </c>
      <c r="B85">
        <f t="shared" si="6"/>
        <v>22.5</v>
      </c>
      <c r="E85">
        <f t="shared" si="7"/>
        <v>14.625</v>
      </c>
      <c r="F85">
        <f t="shared" si="8"/>
        <v>14.625</v>
      </c>
      <c r="G85">
        <f t="shared" si="9"/>
        <v>610.2000082866</v>
      </c>
      <c r="H85">
        <f t="shared" si="10"/>
        <v>610.2000082866</v>
      </c>
      <c r="I85">
        <f t="shared" si="11"/>
        <v>-45.2746999284454</v>
      </c>
      <c r="J85">
        <f t="shared" si="12"/>
        <v>611.877314963202</v>
      </c>
      <c r="K85" s="6">
        <f t="shared" si="13"/>
        <v>68.991</v>
      </c>
      <c r="N85" s="6">
        <f t="shared" si="14"/>
        <v>135</v>
      </c>
      <c r="O85" s="6">
        <f t="shared" si="15"/>
        <v>99.7020561473032</v>
      </c>
      <c r="P85" s="7">
        <f t="shared" si="16"/>
        <v>-99.7020561473032</v>
      </c>
      <c r="Q85" s="7"/>
      <c r="R85" s="7">
        <f t="shared" si="17"/>
        <v>419.412560072144</v>
      </c>
      <c r="S85" s="7">
        <f t="shared" si="18"/>
        <v>-64.8063364957471</v>
      </c>
      <c r="T85" s="7">
        <f t="shared" si="19"/>
        <v>-64.8063364957471</v>
      </c>
      <c r="U85" s="7">
        <f t="shared" si="20"/>
        <v>-655.569624112902</v>
      </c>
      <c r="V85" s="7">
        <f t="shared" si="21"/>
        <v>-655.569624112902</v>
      </c>
      <c r="W85" s="7">
        <f t="shared" si="22"/>
        <v>-363.412498769371</v>
      </c>
      <c r="X85" s="7">
        <f t="shared" si="23"/>
        <v>749.559988474124</v>
      </c>
      <c r="Y85" s="7">
        <f t="shared" si="24"/>
        <v>-273.791242767106</v>
      </c>
    </row>
    <row r="86" ht="14.25">
      <c r="A86">
        <v>74</v>
      </c>
      <c r="B86">
        <f t="shared" si="6"/>
        <v>22.2</v>
      </c>
      <c r="E86">
        <f t="shared" si="7"/>
        <v>14.43</v>
      </c>
      <c r="F86">
        <f t="shared" si="8"/>
        <v>14.43</v>
      </c>
      <c r="G86">
        <f t="shared" si="9"/>
        <v>606.965424490464</v>
      </c>
      <c r="H86">
        <f t="shared" si="10"/>
        <v>606.965424490464</v>
      </c>
      <c r="I86">
        <f t="shared" si="11"/>
        <v>-45.4696999284454</v>
      </c>
      <c r="J86">
        <f t="shared" si="12"/>
        <v>608.666181201545</v>
      </c>
      <c r="K86" s="6">
        <f t="shared" si="13"/>
        <v>68.6868</v>
      </c>
      <c r="N86" s="6">
        <f t="shared" si="14"/>
        <v>133.2</v>
      </c>
      <c r="O86" s="6">
        <f t="shared" si="15"/>
        <v>102.784576466419</v>
      </c>
      <c r="P86" s="7">
        <f t="shared" si="16"/>
        <v>-96.5211419359451</v>
      </c>
      <c r="Q86" s="7"/>
      <c r="R86" s="7">
        <f t="shared" si="17"/>
        <v>421.416198279569</v>
      </c>
      <c r="S86" s="7">
        <f t="shared" si="18"/>
        <v>-62.7387422583643</v>
      </c>
      <c r="T86" s="7">
        <f t="shared" si="19"/>
        <v>-62.7387422583643</v>
      </c>
      <c r="U86" s="7">
        <f t="shared" si="20"/>
        <v>-619.269540688951</v>
      </c>
      <c r="V86" s="7">
        <f t="shared" si="21"/>
        <v>-619.269540688951</v>
      </c>
      <c r="W86" s="7">
        <f t="shared" si="22"/>
        <v>-370.577006638907</v>
      </c>
      <c r="X86" s="7">
        <f t="shared" si="23"/>
        <v>721.680041205628</v>
      </c>
      <c r="Y86" s="7">
        <f t="shared" si="24"/>
        <v>-265.679823837152</v>
      </c>
    </row>
    <row r="87" ht="14.25">
      <c r="A87">
        <v>73</v>
      </c>
      <c r="B87">
        <f t="shared" si="6"/>
        <v>21.9</v>
      </c>
      <c r="E87">
        <f t="shared" si="7"/>
        <v>14.235</v>
      </c>
      <c r="F87">
        <f t="shared" si="8"/>
        <v>14.235</v>
      </c>
      <c r="G87">
        <f t="shared" si="9"/>
        <v>603.730840694328</v>
      </c>
      <c r="H87">
        <f t="shared" si="10"/>
        <v>603.730840694328</v>
      </c>
      <c r="I87">
        <f t="shared" si="11"/>
        <v>-45.6646999284454</v>
      </c>
      <c r="J87">
        <f t="shared" si="12"/>
        <v>605.455359894547</v>
      </c>
      <c r="K87" s="6">
        <f t="shared" si="13"/>
        <v>68.3826</v>
      </c>
      <c r="N87" s="6">
        <f t="shared" si="14"/>
        <v>131.4</v>
      </c>
      <c r="O87" s="6">
        <f t="shared" si="15"/>
        <v>105.765660817895</v>
      </c>
      <c r="P87" s="7">
        <f t="shared" si="16"/>
        <v>-93.2449730106349</v>
      </c>
      <c r="Q87" s="7"/>
      <c r="R87" s="7">
        <f t="shared" si="17"/>
        <v>423.353903108028</v>
      </c>
      <c r="S87" s="7">
        <f t="shared" si="18"/>
        <v>-60.6092324569127</v>
      </c>
      <c r="T87" s="7">
        <f t="shared" si="19"/>
        <v>-60.6092324569127</v>
      </c>
      <c r="U87" s="7">
        <f t="shared" si="20"/>
        <v>-582.008359463115</v>
      </c>
      <c r="V87" s="7">
        <f t="shared" si="21"/>
        <v>-582.008359463115</v>
      </c>
      <c r="W87" s="7">
        <f t="shared" si="22"/>
        <v>-377.375799743194</v>
      </c>
      <c r="X87" s="7">
        <f t="shared" si="23"/>
        <v>693.647046210652</v>
      </c>
      <c r="Y87" s="7">
        <f t="shared" si="24"/>
        <v>-255.817533056364</v>
      </c>
    </row>
    <row r="88" ht="14.25">
      <c r="A88">
        <v>72</v>
      </c>
      <c r="B88">
        <f t="shared" si="6"/>
        <v>21.6</v>
      </c>
      <c r="E88">
        <f t="shared" si="7"/>
        <v>14.04</v>
      </c>
      <c r="F88">
        <f t="shared" si="8"/>
        <v>14.04</v>
      </c>
      <c r="G88">
        <f t="shared" si="9"/>
        <v>600.496256898192</v>
      </c>
      <c r="H88">
        <f t="shared" si="10"/>
        <v>600.496256898192</v>
      </c>
      <c r="I88">
        <f t="shared" si="11"/>
        <v>-45.8596999284454</v>
      </c>
      <c r="J88">
        <f t="shared" si="12"/>
        <v>602.24485603969</v>
      </c>
      <c r="K88" s="6">
        <f t="shared" si="13"/>
        <v>68.0784</v>
      </c>
      <c r="N88" s="6">
        <f t="shared" si="14"/>
        <v>129.6</v>
      </c>
      <c r="O88" s="6">
        <f t="shared" si="15"/>
        <v>108.642367231386</v>
      </c>
      <c r="P88" s="7">
        <f t="shared" si="16"/>
        <v>-89.8767825545653</v>
      </c>
      <c r="Q88" s="7"/>
      <c r="R88" s="7">
        <f t="shared" si="17"/>
        <v>425.223762276798</v>
      </c>
      <c r="S88" s="7">
        <f t="shared" si="18"/>
        <v>-58.4199086604674</v>
      </c>
      <c r="T88" s="7">
        <f t="shared" si="19"/>
        <v>-58.4199086604674</v>
      </c>
      <c r="U88" s="7">
        <f t="shared" si="20"/>
        <v>-543.822852722669</v>
      </c>
      <c r="V88" s="7">
        <f t="shared" si="21"/>
        <v>-543.822852722669</v>
      </c>
      <c r="W88" s="7">
        <f t="shared" si="22"/>
        <v>-383.802168494268</v>
      </c>
      <c r="X88" s="7">
        <f t="shared" si="23"/>
        <v>665.618058412123</v>
      </c>
      <c r="Y88" s="7">
        <f t="shared" si="24"/>
        <v>-244.22292182071</v>
      </c>
    </row>
    <row r="89" ht="14.25">
      <c r="A89">
        <v>71</v>
      </c>
      <c r="B89">
        <f t="shared" si="6"/>
        <v>21.3</v>
      </c>
      <c r="E89">
        <f t="shared" si="7"/>
        <v>13.845</v>
      </c>
      <c r="F89">
        <f t="shared" si="8"/>
        <v>13.845</v>
      </c>
      <c r="G89">
        <f t="shared" si="9"/>
        <v>597.261673102056</v>
      </c>
      <c r="H89">
        <f t="shared" si="10"/>
        <v>597.261673102056</v>
      </c>
      <c r="I89">
        <f t="shared" si="11"/>
        <v>-46.0546999284454</v>
      </c>
      <c r="J89">
        <f t="shared" si="12"/>
        <v>599.034674741093</v>
      </c>
      <c r="K89" s="6">
        <f t="shared" si="13"/>
        <v>67.7742</v>
      </c>
      <c r="N89" s="6">
        <f t="shared" si="14"/>
        <v>127.8</v>
      </c>
      <c r="O89" s="6">
        <f t="shared" si="15"/>
        <v>111.411856744972</v>
      </c>
      <c r="P89" s="7">
        <f t="shared" si="16"/>
        <v>-86.4198945650697</v>
      </c>
      <c r="Q89" s="7"/>
      <c r="R89" s="7">
        <f t="shared" si="17"/>
        <v>427.023930460629</v>
      </c>
      <c r="S89" s="7">
        <f t="shared" si="18"/>
        <v>-56.1729314672953</v>
      </c>
      <c r="T89" s="7">
        <f t="shared" si="19"/>
        <v>-56.1729314672953</v>
      </c>
      <c r="U89" s="7">
        <f t="shared" si="20"/>
        <v>-504.750704952572</v>
      </c>
      <c r="V89" s="7">
        <f t="shared" si="21"/>
        <v>-504.750704952572</v>
      </c>
      <c r="W89" s="7">
        <f t="shared" si="22"/>
        <v>-389.849770842035</v>
      </c>
      <c r="X89" s="7">
        <f t="shared" si="23"/>
        <v>637.774347222986</v>
      </c>
      <c r="Y89" s="7">
        <f t="shared" si="24"/>
        <v>-230.922091446405</v>
      </c>
    </row>
    <row r="90" ht="14.25">
      <c r="A90">
        <v>70</v>
      </c>
      <c r="B90">
        <f t="shared" si="6"/>
        <v>21</v>
      </c>
      <c r="E90">
        <f t="shared" si="7"/>
        <v>13.65</v>
      </c>
      <c r="F90">
        <f t="shared" si="8"/>
        <v>13.65</v>
      </c>
      <c r="G90">
        <f t="shared" si="9"/>
        <v>594.02708930592</v>
      </c>
      <c r="H90">
        <f t="shared" si="10"/>
        <v>594.02708930592</v>
      </c>
      <c r="I90">
        <f t="shared" si="11"/>
        <v>-46.2496999284454</v>
      </c>
      <c r="J90">
        <f t="shared" si="12"/>
        <v>595.824821212355</v>
      </c>
      <c r="K90" s="6">
        <f t="shared" si="13"/>
        <v>67.47</v>
      </c>
      <c r="N90" s="6">
        <f t="shared" si="14"/>
        <v>126</v>
      </c>
      <c r="O90" s="6">
        <f t="shared" si="15"/>
        <v>114.071396206868</v>
      </c>
      <c r="P90" s="7">
        <f t="shared" si="16"/>
        <v>-82.8777205732387</v>
      </c>
      <c r="Q90" s="7"/>
      <c r="R90" s="7">
        <f t="shared" si="17"/>
        <v>428.752631110861</v>
      </c>
      <c r="S90" s="7">
        <f t="shared" si="18"/>
        <v>-53.8705183726051</v>
      </c>
      <c r="T90" s="7">
        <f t="shared" si="19"/>
        <v>-53.8705183726051</v>
      </c>
      <c r="U90" s="7">
        <f t="shared" si="20"/>
        <v>-464.830475645437</v>
      </c>
      <c r="V90" s="7">
        <f t="shared" si="21"/>
        <v>-464.830475645437</v>
      </c>
      <c r="W90" s="7">
        <f t="shared" si="22"/>
        <v>-395.512638533114</v>
      </c>
      <c r="X90" s="7">
        <f t="shared" si="23"/>
        <v>610.325829641994</v>
      </c>
      <c r="Y90" s="7">
        <f t="shared" si="24"/>
        <v>-215.948609559345</v>
      </c>
    </row>
    <row r="91" ht="14.25">
      <c r="A91">
        <v>69</v>
      </c>
      <c r="B91">
        <f t="shared" si="6"/>
        <v>20.7</v>
      </c>
      <c r="E91">
        <f t="shared" si="7"/>
        <v>13.455</v>
      </c>
      <c r="F91">
        <f t="shared" si="8"/>
        <v>13.455</v>
      </c>
      <c r="G91">
        <f t="shared" si="9"/>
        <v>590.792505509784</v>
      </c>
      <c r="H91">
        <f t="shared" si="10"/>
        <v>590.792505509784</v>
      </c>
      <c r="I91">
        <f t="shared" si="11"/>
        <v>-46.4446999284454</v>
      </c>
      <c r="J91">
        <f t="shared" si="12"/>
        <v>592.615300779495</v>
      </c>
      <c r="K91" s="6">
        <f t="shared" si="13"/>
        <v>67.1658</v>
      </c>
      <c r="N91" s="6">
        <f t="shared" si="14"/>
        <v>124.2</v>
      </c>
      <c r="O91" s="6">
        <f t="shared" si="15"/>
        <v>116.618360972713</v>
      </c>
      <c r="P91" s="7">
        <f t="shared" si="16"/>
        <v>-79.2537562771504</v>
      </c>
      <c r="Q91" s="7"/>
      <c r="R91" s="7">
        <f t="shared" si="17"/>
        <v>430.40815820866</v>
      </c>
      <c r="S91" s="7">
        <f t="shared" si="18"/>
        <v>-51.5149415801478</v>
      </c>
      <c r="T91" s="7">
        <f t="shared" si="19"/>
        <v>-51.5149415801478</v>
      </c>
      <c r="U91" s="7">
        <f t="shared" si="20"/>
        <v>-424.101561247962</v>
      </c>
      <c r="V91" s="7">
        <f t="shared" si="21"/>
        <v>-424.101561247962</v>
      </c>
      <c r="W91" s="7">
        <f t="shared" si="22"/>
        <v>-400.78518300078</v>
      </c>
      <c r="X91" s="7">
        <f t="shared" si="23"/>
        <v>583.515978500955</v>
      </c>
      <c r="Y91" s="7">
        <f t="shared" si="24"/>
        <v>-199.343396295388</v>
      </c>
    </row>
    <row r="92" ht="14.25">
      <c r="A92">
        <v>68</v>
      </c>
      <c r="B92">
        <f t="shared" si="6"/>
        <v>20.4</v>
      </c>
      <c r="E92">
        <f t="shared" si="7"/>
        <v>13.26</v>
      </c>
      <c r="F92">
        <f t="shared" si="8"/>
        <v>13.26</v>
      </c>
      <c r="G92">
        <f t="shared" si="9"/>
        <v>587.557921713648</v>
      </c>
      <c r="H92">
        <f t="shared" si="10"/>
        <v>587.557921713648</v>
      </c>
      <c r="I92">
        <f t="shared" si="11"/>
        <v>-46.6396999284454</v>
      </c>
      <c r="J92">
        <f t="shared" si="12"/>
        <v>589.40611888398</v>
      </c>
      <c r="K92" s="6">
        <f t="shared" si="13"/>
        <v>66.8616</v>
      </c>
      <c r="N92" s="6">
        <f t="shared" si="14"/>
        <v>122.4</v>
      </c>
      <c r="O92" s="6">
        <f t="shared" si="15"/>
        <v>119.050237495784</v>
      </c>
      <c r="P92" s="7">
        <f t="shared" si="16"/>
        <v>-75.5515780920386</v>
      </c>
      <c r="Q92" s="7"/>
      <c r="R92" s="7">
        <f t="shared" si="17"/>
        <v>431.988877948656</v>
      </c>
      <c r="S92" s="7">
        <f t="shared" si="18"/>
        <v>-49.1085257598251</v>
      </c>
      <c r="T92" s="7">
        <f t="shared" si="19"/>
        <v>-49.1085257598251</v>
      </c>
      <c r="U92" s="7">
        <f t="shared" si="20"/>
        <v>-382.604156281395</v>
      </c>
      <c r="V92" s="7">
        <f t="shared" si="21"/>
        <v>-382.604156281395</v>
      </c>
      <c r="W92" s="7">
        <f t="shared" si="22"/>
        <v>-405.662200880206</v>
      </c>
      <c r="X92" s="7">
        <f t="shared" si="23"/>
        <v>557.626901814081</v>
      </c>
      <c r="Y92" s="7">
        <f t="shared" si="24"/>
        <v>-181.154580742184</v>
      </c>
    </row>
    <row r="93" ht="14.25">
      <c r="A93">
        <v>67</v>
      </c>
      <c r="B93">
        <f t="shared" si="6"/>
        <v>20.1</v>
      </c>
      <c r="E93">
        <f t="shared" si="7"/>
        <v>13.065</v>
      </c>
      <c r="F93">
        <f t="shared" si="8"/>
        <v>13.065</v>
      </c>
      <c r="G93">
        <f t="shared" si="9"/>
        <v>584.323337917512</v>
      </c>
      <c r="H93">
        <f t="shared" si="10"/>
        <v>584.323337917512</v>
      </c>
      <c r="I93">
        <f t="shared" si="11"/>
        <v>-46.8346999284454</v>
      </c>
      <c r="J93">
        <f t="shared" si="12"/>
        <v>586.197281085856</v>
      </c>
      <c r="K93" s="6">
        <f t="shared" si="13"/>
        <v>66.5574</v>
      </c>
      <c r="N93" s="6">
        <f t="shared" si="14"/>
        <v>120.6</v>
      </c>
      <c r="O93" s="6">
        <f t="shared" si="15"/>
        <v>121.364625807556</v>
      </c>
      <c r="P93" s="7">
        <f t="shared" si="16"/>
        <v>-71.7748396208023</v>
      </c>
      <c r="Q93" s="7"/>
      <c r="R93" s="7">
        <f t="shared" si="17"/>
        <v>433.493230351308</v>
      </c>
      <c r="S93" s="7">
        <f t="shared" si="18"/>
        <v>-46.6536457535215</v>
      </c>
      <c r="T93" s="7">
        <f t="shared" si="19"/>
        <v>-46.6536457535215</v>
      </c>
      <c r="U93" s="7">
        <f t="shared" si="20"/>
        <v>-340.379213674395</v>
      </c>
      <c r="V93" s="7">
        <f t="shared" si="21"/>
        <v>-340.379213674395</v>
      </c>
      <c r="W93" s="7">
        <f t="shared" si="22"/>
        <v>-410.138879143555</v>
      </c>
      <c r="X93" s="7">
        <f t="shared" si="23"/>
        <v>532.983967194822</v>
      </c>
      <c r="Y93" s="7">
        <f t="shared" si="24"/>
        <v>-161.437328171399</v>
      </c>
    </row>
    <row r="94" ht="14.25">
      <c r="A94">
        <v>66</v>
      </c>
      <c r="B94">
        <f t="shared" si="6"/>
        <v>19.8</v>
      </c>
      <c r="E94">
        <f t="shared" si="7"/>
        <v>12.87</v>
      </c>
      <c r="F94">
        <f t="shared" si="8"/>
        <v>12.87</v>
      </c>
      <c r="G94">
        <f t="shared" si="9"/>
        <v>581.088754121376</v>
      </c>
      <c r="H94">
        <f t="shared" si="10"/>
        <v>581.088754121376</v>
      </c>
      <c r="I94">
        <f t="shared" si="11"/>
        <v>-47.0296999284454</v>
      </c>
      <c r="J94">
        <f t="shared" si="12"/>
        <v>582.988793066979</v>
      </c>
      <c r="K94" s="6">
        <f t="shared" si="13"/>
        <v>66.2532</v>
      </c>
      <c r="N94" s="6">
        <f t="shared" si="14"/>
        <v>118.8</v>
      </c>
      <c r="O94" s="6">
        <f t="shared" si="15"/>
        <v>123.559241886185</v>
      </c>
      <c r="P94" s="7">
        <f t="shared" si="16"/>
        <v>-67.9272680483419</v>
      </c>
      <c r="Q94" s="7"/>
      <c r="R94" s="7">
        <f t="shared" si="17"/>
        <v>434.919730802417</v>
      </c>
      <c r="S94" s="7">
        <f t="shared" si="18"/>
        <v>-44.1527242314222</v>
      </c>
      <c r="T94" s="7">
        <f t="shared" si="19"/>
        <v>-44.1527242314222</v>
      </c>
      <c r="U94" s="7">
        <f t="shared" si="20"/>
        <v>-297.468404347439</v>
      </c>
      <c r="V94" s="7">
        <f t="shared" si="21"/>
        <v>-297.468404347439</v>
      </c>
      <c r="W94" s="7">
        <f t="shared" si="22"/>
        <v>-414.210799849856</v>
      </c>
      <c r="X94" s="7">
        <f t="shared" si="23"/>
        <v>509.958859416393</v>
      </c>
      <c r="Y94" s="7">
        <f t="shared" si="24"/>
        <v>-140.253638726233</v>
      </c>
    </row>
    <row r="95" ht="14.25">
      <c r="A95">
        <v>65</v>
      </c>
      <c r="B95">
        <f t="shared" si="6"/>
        <v>19.5</v>
      </c>
      <c r="E95">
        <f t="shared" si="7"/>
        <v>12.675</v>
      </c>
      <c r="F95">
        <f t="shared" si="8"/>
        <v>12.675</v>
      </c>
      <c r="G95">
        <f t="shared" si="9"/>
        <v>577.85417032524</v>
      </c>
      <c r="H95">
        <f t="shared" si="10"/>
        <v>577.85417032524</v>
      </c>
      <c r="I95">
        <f t="shared" si="11"/>
        <v>-47.2246999284454</v>
      </c>
      <c r="J95">
        <f t="shared" si="12"/>
        <v>579.78066063435</v>
      </c>
      <c r="K95" s="6">
        <f t="shared" si="13"/>
        <v>65.949</v>
      </c>
      <c r="N95" s="6">
        <f t="shared" si="14"/>
        <v>117</v>
      </c>
      <c r="O95" s="6">
        <f t="shared" si="15"/>
        <v>125.63191991056</v>
      </c>
      <c r="P95" s="7">
        <f t="shared" si="16"/>
        <v>-64.0126604632761</v>
      </c>
      <c r="Q95" s="7"/>
      <c r="R95" s="7">
        <f t="shared" si="17"/>
        <v>436.266971518261</v>
      </c>
      <c r="S95" s="7">
        <f t="shared" si="18"/>
        <v>-41.6082293011295</v>
      </c>
      <c r="T95" s="7">
        <f t="shared" si="19"/>
        <v>-41.6082293011295</v>
      </c>
      <c r="U95" s="7">
        <f t="shared" si="20"/>
        <v>-253.914076088645</v>
      </c>
      <c r="V95" s="7">
        <f t="shared" si="21"/>
        <v>-253.914076088645</v>
      </c>
      <c r="W95" s="7">
        <f t="shared" si="22"/>
        <v>-417.87394450498</v>
      </c>
      <c r="X95" s="7">
        <f t="shared" si="23"/>
        <v>488.969315532275</v>
      </c>
      <c r="Y95" s="7">
        <f t="shared" si="24"/>
        <v>-117.672118342516</v>
      </c>
    </row>
    <row r="96" ht="14.25">
      <c r="A96">
        <v>64</v>
      </c>
      <c r="B96">
        <f t="shared" si="6"/>
        <v>19.2</v>
      </c>
      <c r="E96">
        <f t="shared" si="7"/>
        <v>12.48</v>
      </c>
      <c r="F96">
        <f t="shared" si="8"/>
        <v>12.48</v>
      </c>
      <c r="G96">
        <f t="shared" si="9"/>
        <v>574.619586529104</v>
      </c>
      <c r="H96">
        <f t="shared" si="10"/>
        <v>574.619586529104</v>
      </c>
      <c r="I96">
        <f t="shared" si="11"/>
        <v>-47.4196999284454</v>
      </c>
      <c r="J96">
        <f t="shared" si="12"/>
        <v>576.572889723565</v>
      </c>
      <c r="K96" s="6">
        <f t="shared" si="13"/>
        <v>65.6448</v>
      </c>
      <c r="N96" s="6">
        <f t="shared" si="14"/>
        <v>115.2</v>
      </c>
      <c r="O96" s="6">
        <f t="shared" si="15"/>
        <v>127.580614397709</v>
      </c>
      <c r="P96" s="7">
        <f t="shared" si="16"/>
        <v>-60.0348801106753</v>
      </c>
      <c r="Q96" s="7"/>
      <c r="R96" s="7">
        <f t="shared" si="17"/>
        <v>437.533622934907</v>
      </c>
      <c r="S96" s="7">
        <f t="shared" si="18"/>
        <v>-39.0226720719389</v>
      </c>
      <c r="T96" s="7">
        <f t="shared" si="19"/>
        <v>-39.0226720719389</v>
      </c>
      <c r="U96" s="7">
        <f t="shared" si="20"/>
        <v>-209.759211761628</v>
      </c>
      <c r="V96" s="7">
        <f t="shared" si="21"/>
        <v>-209.759211761628</v>
      </c>
      <c r="W96" s="7">
        <f t="shared" si="22"/>
        <v>-421.124698027412</v>
      </c>
      <c r="X96" s="7">
        <f t="shared" si="23"/>
        <v>470.473100408023</v>
      </c>
      <c r="Y96" s="7">
        <f t="shared" si="24"/>
        <v>-93.7677227920756</v>
      </c>
    </row>
    <row r="97" ht="14.25">
      <c r="A97">
        <v>63</v>
      </c>
      <c r="B97">
        <f t="shared" si="6"/>
        <v>18.9</v>
      </c>
      <c r="E97">
        <f t="shared" si="7"/>
        <v>12.285</v>
      </c>
      <c r="F97">
        <f t="shared" si="8"/>
        <v>12.285</v>
      </c>
      <c r="G97">
        <f t="shared" si="9"/>
        <v>571.385002732968</v>
      </c>
      <c r="H97">
        <f t="shared" si="10"/>
        <v>571.385002732968</v>
      </c>
      <c r="I97">
        <f t="shared" si="11"/>
        <v>-47.6146999284454</v>
      </c>
      <c r="J97">
        <f t="shared" si="12"/>
        <v>573.365486402373</v>
      </c>
      <c r="K97" s="6">
        <f t="shared" si="13"/>
        <v>65.3406</v>
      </c>
      <c r="N97" s="6">
        <f t="shared" si="14"/>
        <v>113.4</v>
      </c>
      <c r="O97" s="6">
        <f t="shared" si="15"/>
        <v>129.403402221441</v>
      </c>
      <c r="P97" s="7">
        <f t="shared" si="16"/>
        <v>-55.997852579504</v>
      </c>
      <c r="Q97" s="7"/>
      <c r="R97" s="7">
        <f t="shared" si="17"/>
        <v>438.718435020334</v>
      </c>
      <c r="S97" s="7">
        <f t="shared" si="18"/>
        <v>-36.3986041766776</v>
      </c>
      <c r="T97" s="7">
        <f t="shared" si="19"/>
        <v>-36.3986041766776</v>
      </c>
      <c r="U97" s="7">
        <f t="shared" si="20"/>
        <v>-165.047386886597</v>
      </c>
      <c r="V97" s="7">
        <f t="shared" si="21"/>
        <v>-165.047386886597</v>
      </c>
      <c r="W97" s="7">
        <f t="shared" si="22"/>
        <v>-423.959852315891</v>
      </c>
      <c r="X97" s="7">
        <f t="shared" si="23"/>
        <v>454.95340013435</v>
      </c>
      <c r="Y97" s="7">
        <f t="shared" si="24"/>
        <v>-68.6214758438809</v>
      </c>
    </row>
    <row r="98" ht="14.25">
      <c r="A98">
        <v>62</v>
      </c>
      <c r="B98">
        <f t="shared" si="6"/>
        <v>18.6</v>
      </c>
      <c r="E98">
        <f t="shared" si="7"/>
        <v>12.09</v>
      </c>
      <c r="F98">
        <f t="shared" si="8"/>
        <v>12.09</v>
      </c>
      <c r="G98">
        <f t="shared" si="9"/>
        <v>568.150418936832</v>
      </c>
      <c r="H98">
        <f t="shared" si="10"/>
        <v>568.150418936832</v>
      </c>
      <c r="I98">
        <f t="shared" si="11"/>
        <v>-47.8096999284454</v>
      </c>
      <c r="J98">
        <f t="shared" si="12"/>
        <v>570.158456874355</v>
      </c>
      <c r="K98" s="6">
        <f t="shared" si="13"/>
        <v>65.0364</v>
      </c>
      <c r="N98" s="6">
        <f t="shared" si="14"/>
        <v>111.6</v>
      </c>
      <c r="O98" s="6">
        <f t="shared" si="15"/>
        <v>131.098484510243</v>
      </c>
      <c r="P98" s="7">
        <f t="shared" si="16"/>
        <v>-51.9055619285396</v>
      </c>
      <c r="Q98" s="7"/>
      <c r="R98" s="7">
        <f t="shared" si="17"/>
        <v>439.820238508055</v>
      </c>
      <c r="S98" s="7">
        <f t="shared" si="18"/>
        <v>-33.7386152535507</v>
      </c>
      <c r="T98" s="7">
        <f t="shared" si="19"/>
        <v>-33.7386152535507</v>
      </c>
      <c r="U98" s="7">
        <f t="shared" si="20"/>
        <v>-119.82272663658</v>
      </c>
      <c r="V98" s="7">
        <f t="shared" si="21"/>
        <v>-119.82272663658</v>
      </c>
      <c r="W98" s="7">
        <f t="shared" si="22"/>
        <v>-426.376609415427</v>
      </c>
      <c r="X98" s="7">
        <f t="shared" si="23"/>
        <v>442.893326744963</v>
      </c>
      <c r="Y98" s="7">
        <f t="shared" si="24"/>
        <v>-42.3201626414953</v>
      </c>
    </row>
    <row r="99" ht="14.25">
      <c r="A99">
        <v>61</v>
      </c>
      <c r="B99">
        <f t="shared" si="6"/>
        <v>18.3</v>
      </c>
      <c r="E99">
        <f t="shared" si="7"/>
        <v>11.895</v>
      </c>
      <c r="F99">
        <f t="shared" si="8"/>
        <v>11.895</v>
      </c>
      <c r="G99">
        <f t="shared" si="9"/>
        <v>564.915835140696</v>
      </c>
      <c r="H99">
        <f t="shared" si="10"/>
        <v>564.915835140696</v>
      </c>
      <c r="I99">
        <f t="shared" si="11"/>
        <v>-48.0046999284454</v>
      </c>
      <c r="J99">
        <f t="shared" si="12"/>
        <v>566.951807482726</v>
      </c>
      <c r="K99" s="6">
        <f t="shared" si="13"/>
        <v>64.7322</v>
      </c>
      <c r="N99" s="6">
        <f t="shared" si="14"/>
        <v>109.8</v>
      </c>
      <c r="O99" s="6">
        <f t="shared" si="15"/>
        <v>132.664188422546</v>
      </c>
      <c r="P99" s="7">
        <f t="shared" si="16"/>
        <v>-47.7620467545861</v>
      </c>
      <c r="Q99" s="7"/>
      <c r="R99" s="7">
        <f t="shared" si="17"/>
        <v>440.837946051051</v>
      </c>
      <c r="S99" s="7">
        <f t="shared" si="18"/>
        <v>-31.045330390481</v>
      </c>
      <c r="T99" s="7">
        <f t="shared" si="19"/>
        <v>-31.045330390481</v>
      </c>
      <c r="U99" s="7">
        <f t="shared" si="20"/>
        <v>-74.1298622912038</v>
      </c>
      <c r="V99" s="7">
        <f t="shared" si="21"/>
        <v>-74.1298622912038</v>
      </c>
      <c r="W99" s="7">
        <f t="shared" si="22"/>
        <v>-428.372584278542</v>
      </c>
      <c r="X99" s="7">
        <f t="shared" si="23"/>
        <v>434.739355757895</v>
      </c>
      <c r="Y99" s="7">
        <f t="shared" si="24"/>
        <v>-14.9559994939365</v>
      </c>
    </row>
    <row r="100" ht="14.25">
      <c r="A100">
        <v>60</v>
      </c>
      <c r="B100">
        <f t="shared" ref="B100:B163" si="25">$B$27*A100/100</f>
        <v>18</v>
      </c>
      <c r="E100">
        <f t="shared" ref="E100:E163" si="26">B100*$B$7</f>
        <v>11.7</v>
      </c>
      <c r="F100">
        <f t="shared" ref="F100:F163" si="27">E100</f>
        <v>11.7</v>
      </c>
      <c r="G100">
        <f t="shared" ref="G100:G163" si="28">$D$60+B100*$B$8*$B$14</f>
        <v>561.68125134456</v>
      </c>
      <c r="H100">
        <f t="shared" ref="H100:H163" si="29">G100</f>
        <v>561.68125134456</v>
      </c>
      <c r="I100">
        <f t="shared" ref="I100:I163" si="30">E100-$B$26*$B$14*$B$9</f>
        <v>-48.1996999284454</v>
      </c>
      <c r="J100">
        <f t="shared" ref="J100:J163" si="31">SQRT(I100*I100+H100*H100)</f>
        <v>563.745544714264</v>
      </c>
      <c r="K100" s="6">
        <f t="shared" ref="K100:K163" si="32">1.5*$B$13*($B$26*$B$6+$B$26*B100*($B$8-$B$9))</f>
        <v>64.428</v>
      </c>
      <c r="N100" s="6">
        <f t="shared" ref="N100:N163" si="33">180*A100/100</f>
        <v>108</v>
      </c>
      <c r="O100" s="6">
        <f t="shared" ref="O100:O163" si="34">$B$31*SIN(N100/180*PI())</f>
        <v>134.098968797617</v>
      </c>
      <c r="P100" s="7">
        <f t="shared" ref="P100:P163" si="35">$B$31*COS(N100/180*PI())</f>
        <v>-43.5713962068676</v>
      </c>
      <c r="Q100" s="7"/>
      <c r="R100" s="7">
        <f t="shared" ref="R100:R163" si="36">$Q$60+O100*$B$7</f>
        <v>441.770553294847</v>
      </c>
      <c r="S100" s="7">
        <f t="shared" ref="S100:S163" si="37">P100*$B$7</f>
        <v>-28.3214075344639</v>
      </c>
      <c r="T100" s="7">
        <f t="shared" ref="T100:T163" si="38">S100</f>
        <v>-28.3214075344639</v>
      </c>
      <c r="U100" s="7">
        <f t="shared" ref="U100:U163" si="39">R100+P100*$B$8*$B$14</f>
        <v>-28.0138871910113</v>
      </c>
      <c r="V100" s="7">
        <f t="shared" ref="V100:V163" si="40">U100</f>
        <v>-28.0138871910113</v>
      </c>
      <c r="W100" s="7">
        <f t="shared" ref="W100:W163" si="41">S100-O100*$B$14*$B$9</f>
        <v>-429.945807119024</v>
      </c>
      <c r="X100" s="7">
        <f t="shared" ref="X100:X163" si="42">SQRT(W100*W100+V100*V100)</f>
        <v>430.857487964152</v>
      </c>
      <c r="Y100" s="7">
        <f t="shared" ref="Y100:Y163" si="43">1.5*$B$13*(O100*$B$6+O100*P100*($B$8-$B$9))</f>
        <v>13.3737186289817</v>
      </c>
    </row>
    <row r="101" ht="14.25">
      <c r="A101">
        <v>59</v>
      </c>
      <c r="B101">
        <f t="shared" si="25"/>
        <v>17.7</v>
      </c>
      <c r="E101">
        <f t="shared" si="26"/>
        <v>11.505</v>
      </c>
      <c r="F101">
        <f t="shared" si="27"/>
        <v>11.505</v>
      </c>
      <c r="G101">
        <f t="shared" si="28"/>
        <v>558.446667548424</v>
      </c>
      <c r="H101">
        <f t="shared" si="29"/>
        <v>558.446667548424</v>
      </c>
      <c r="I101">
        <f t="shared" si="30"/>
        <v>-48.3946999284454</v>
      </c>
      <c r="J101">
        <f t="shared" si="31"/>
        <v>560.539675203374</v>
      </c>
      <c r="K101" s="6">
        <f t="shared" si="32"/>
        <v>64.1238</v>
      </c>
      <c r="N101" s="6">
        <f t="shared" si="33"/>
        <v>106.2</v>
      </c>
      <c r="O101" s="6">
        <f t="shared" si="34"/>
        <v>135.401409680449</v>
      </c>
      <c r="P101" s="7">
        <f t="shared" si="35"/>
        <v>-39.3377459515313</v>
      </c>
      <c r="Q101" s="7"/>
      <c r="R101" s="7">
        <f t="shared" si="36"/>
        <v>442.617139868688</v>
      </c>
      <c r="S101" s="7">
        <f t="shared" si="37"/>
        <v>-25.5695348684954</v>
      </c>
      <c r="T101" s="7">
        <f t="shared" si="38"/>
        <v>-25.5695348684954</v>
      </c>
      <c r="U101" s="7">
        <f t="shared" si="39"/>
        <v>18.4796877642228</v>
      </c>
      <c r="V101" s="7">
        <f t="shared" si="40"/>
        <v>18.4796877642228</v>
      </c>
      <c r="W101" s="7">
        <f t="shared" si="41"/>
        <v>-431.094725355865</v>
      </c>
      <c r="X101" s="7">
        <f t="shared" si="42"/>
        <v>431.490626884886</v>
      </c>
      <c r="Y101" s="7">
        <f t="shared" si="43"/>
        <v>42.5669915169428</v>
      </c>
    </row>
    <row r="102" ht="14.25">
      <c r="A102">
        <v>58</v>
      </c>
      <c r="B102">
        <f t="shared" si="25"/>
        <v>17.4</v>
      </c>
      <c r="E102">
        <f t="shared" si="26"/>
        <v>11.31</v>
      </c>
      <c r="F102">
        <f t="shared" si="27"/>
        <v>11.31</v>
      </c>
      <c r="G102">
        <f t="shared" si="28"/>
        <v>555.212083752288</v>
      </c>
      <c r="H102">
        <f t="shared" si="29"/>
        <v>555.212083752288</v>
      </c>
      <c r="I102">
        <f t="shared" si="30"/>
        <v>-48.5896999284454</v>
      </c>
      <c r="J102">
        <f t="shared" si="31"/>
        <v>557.334205736283</v>
      </c>
      <c r="K102" s="6">
        <f t="shared" si="32"/>
        <v>63.8196</v>
      </c>
      <c r="N102" s="6">
        <f t="shared" si="33"/>
        <v>104.4</v>
      </c>
      <c r="O102" s="6">
        <f t="shared" si="34"/>
        <v>136.570225719137</v>
      </c>
      <c r="P102" s="7">
        <f t="shared" si="35"/>
        <v>-35.0652740902445</v>
      </c>
      <c r="Q102" s="7"/>
      <c r="R102" s="7">
        <f t="shared" si="36"/>
        <v>443.376870293836</v>
      </c>
      <c r="S102" s="7">
        <f t="shared" si="37"/>
        <v>-22.792428158659</v>
      </c>
      <c r="T102" s="7">
        <f t="shared" si="38"/>
        <v>-22.792428158659</v>
      </c>
      <c r="U102" s="7">
        <f t="shared" si="39"/>
        <v>65.3049790292548</v>
      </c>
      <c r="V102" s="7">
        <f t="shared" si="40"/>
        <v>65.3049790292548</v>
      </c>
      <c r="W102" s="7">
        <f t="shared" si="41"/>
        <v>-431.818205145477</v>
      </c>
      <c r="X102" s="7">
        <f t="shared" si="42"/>
        <v>436.728408259724</v>
      </c>
      <c r="Y102" s="7">
        <f t="shared" si="43"/>
        <v>72.5175065917527</v>
      </c>
    </row>
    <row r="103" ht="14.25">
      <c r="A103">
        <v>57</v>
      </c>
      <c r="B103">
        <f t="shared" si="25"/>
        <v>17.1</v>
      </c>
      <c r="E103">
        <f t="shared" si="26"/>
        <v>11.115</v>
      </c>
      <c r="F103">
        <f t="shared" si="27"/>
        <v>11.115</v>
      </c>
      <c r="G103">
        <f t="shared" si="28"/>
        <v>551.977499956152</v>
      </c>
      <c r="H103">
        <f t="shared" si="29"/>
        <v>551.977499956152</v>
      </c>
      <c r="I103">
        <f t="shared" si="30"/>
        <v>-48.7846999284454</v>
      </c>
      <c r="J103">
        <f t="shared" si="31"/>
        <v>554.129143255389</v>
      </c>
      <c r="K103" s="6">
        <f t="shared" si="32"/>
        <v>63.5154</v>
      </c>
      <c r="N103" s="6">
        <f t="shared" si="33"/>
        <v>102.6</v>
      </c>
      <c r="O103" s="6">
        <f t="shared" si="34"/>
        <v>137.604263433363</v>
      </c>
      <c r="P103" s="7">
        <f t="shared" si="35"/>
        <v>-30.7581970369125</v>
      </c>
      <c r="Q103" s="7"/>
      <c r="R103" s="7">
        <f t="shared" si="36"/>
        <v>444.048994808083</v>
      </c>
      <c r="S103" s="7">
        <f t="shared" si="37"/>
        <v>-19.9928280739931</v>
      </c>
      <c r="T103" s="7">
        <f t="shared" si="38"/>
        <v>-19.9928280739931</v>
      </c>
      <c r="U103" s="7">
        <f t="shared" si="39"/>
        <v>112.415775694893</v>
      </c>
      <c r="V103" s="7">
        <f t="shared" si="40"/>
        <v>112.415775694893</v>
      </c>
      <c r="W103" s="7">
        <f t="shared" si="41"/>
        <v>-432.115532500654</v>
      </c>
      <c r="X103" s="7">
        <f t="shared" si="42"/>
        <v>446.498757056958</v>
      </c>
      <c r="Y103" s="7">
        <f t="shared" si="43"/>
        <v>103.115049691358</v>
      </c>
    </row>
    <row r="104" ht="14.25">
      <c r="A104">
        <v>56</v>
      </c>
      <c r="B104">
        <f t="shared" si="25"/>
        <v>16.8</v>
      </c>
      <c r="E104">
        <f t="shared" si="26"/>
        <v>10.92</v>
      </c>
      <c r="F104">
        <f t="shared" si="27"/>
        <v>10.92</v>
      </c>
      <c r="G104">
        <f t="shared" si="28"/>
        <v>548.742916160016</v>
      </c>
      <c r="H104">
        <f t="shared" si="29"/>
        <v>548.742916160016</v>
      </c>
      <c r="I104">
        <f t="shared" si="30"/>
        <v>-48.9796999284454</v>
      </c>
      <c r="J104">
        <f t="shared" si="31"/>
        <v>550.92449486375</v>
      </c>
      <c r="K104" s="6">
        <f t="shared" si="32"/>
        <v>63.2112</v>
      </c>
      <c r="N104" s="6">
        <f t="shared" si="33"/>
        <v>100.8</v>
      </c>
      <c r="O104" s="6">
        <f t="shared" si="34"/>
        <v>138.502502352745</v>
      </c>
      <c r="P104" s="7">
        <f t="shared" si="35"/>
        <v>-26.4207653565871</v>
      </c>
      <c r="Q104" s="7"/>
      <c r="R104" s="7">
        <f t="shared" si="36"/>
        <v>444.632850105681</v>
      </c>
      <c r="S104" s="7">
        <f t="shared" si="37"/>
        <v>-17.1734974817816</v>
      </c>
      <c r="T104" s="7">
        <f t="shared" si="38"/>
        <v>-17.1734974817816</v>
      </c>
      <c r="U104" s="7">
        <f t="shared" si="39"/>
        <v>159.765585092583</v>
      </c>
      <c r="V104" s="7">
        <f t="shared" si="40"/>
        <v>159.765585092583</v>
      </c>
      <c r="W104" s="7">
        <f t="shared" si="41"/>
        <v>-431.986413995193</v>
      </c>
      <c r="X104" s="7">
        <f t="shared" si="42"/>
        <v>460.583655871983</v>
      </c>
      <c r="Y104" s="7">
        <f t="shared" si="43"/>
        <v>134.245932152743</v>
      </c>
    </row>
    <row r="105" ht="14.25">
      <c r="A105">
        <v>55</v>
      </c>
      <c r="B105">
        <f t="shared" si="25"/>
        <v>16.5</v>
      </c>
      <c r="E105">
        <f t="shared" si="26"/>
        <v>10.725</v>
      </c>
      <c r="F105">
        <f t="shared" si="27"/>
        <v>10.725</v>
      </c>
      <c r="G105">
        <f t="shared" si="28"/>
        <v>545.508332363879</v>
      </c>
      <c r="H105">
        <f t="shared" si="29"/>
        <v>545.508332363879</v>
      </c>
      <c r="I105">
        <f t="shared" si="30"/>
        <v>-49.1746999284454</v>
      </c>
      <c r="J105">
        <f t="shared" si="31"/>
        <v>547.720267829732</v>
      </c>
      <c r="K105" s="6">
        <f t="shared" si="32"/>
        <v>62.907</v>
      </c>
      <c r="N105" s="6">
        <f t="shared" si="33"/>
        <v>99</v>
      </c>
      <c r="O105" s="6">
        <f t="shared" si="34"/>
        <v>139.264056023914</v>
      </c>
      <c r="P105" s="7">
        <f t="shared" si="35"/>
        <v>-22.0572595706726</v>
      </c>
      <c r="Q105" s="7"/>
      <c r="R105" s="7">
        <f t="shared" si="36"/>
        <v>445.127859991941</v>
      </c>
      <c r="S105" s="7">
        <f t="shared" si="37"/>
        <v>-14.3372187209372</v>
      </c>
      <c r="T105" s="7">
        <f t="shared" si="38"/>
        <v>-14.3372187209372</v>
      </c>
      <c r="U105" s="7">
        <f t="shared" si="39"/>
        <v>207.30767867706</v>
      </c>
      <c r="V105" s="7">
        <f t="shared" si="40"/>
        <v>207.30767867706</v>
      </c>
      <c r="W105" s="7">
        <f t="shared" si="41"/>
        <v>-431.430977053471</v>
      </c>
      <c r="X105" s="7">
        <f t="shared" si="42"/>
        <v>478.653488026342</v>
      </c>
      <c r="Y105" s="7">
        <f t="shared" si="43"/>
        <v>165.793432515996</v>
      </c>
    </row>
    <row r="106" ht="14.25">
      <c r="A106">
        <v>54</v>
      </c>
      <c r="B106">
        <f t="shared" si="25"/>
        <v>16.2</v>
      </c>
      <c r="E106">
        <f t="shared" si="26"/>
        <v>10.53</v>
      </c>
      <c r="F106">
        <f t="shared" si="27"/>
        <v>10.53</v>
      </c>
      <c r="G106">
        <f t="shared" si="28"/>
        <v>542.273748567743</v>
      </c>
      <c r="H106">
        <f t="shared" si="29"/>
        <v>542.273748567743</v>
      </c>
      <c r="I106">
        <f t="shared" si="30"/>
        <v>-49.3696999284454</v>
      </c>
      <c r="J106">
        <f t="shared" si="31"/>
        <v>544.516469591818</v>
      </c>
      <c r="K106" s="6">
        <f t="shared" si="32"/>
        <v>62.6028</v>
      </c>
      <c r="N106" s="6">
        <f t="shared" si="33"/>
        <v>97.2</v>
      </c>
      <c r="O106" s="6">
        <f t="shared" si="34"/>
        <v>139.888172885341</v>
      </c>
      <c r="P106" s="7">
        <f t="shared" si="35"/>
        <v>-17.6719859325669</v>
      </c>
      <c r="Q106" s="7"/>
      <c r="R106" s="7">
        <f t="shared" si="36"/>
        <v>445.533535951869</v>
      </c>
      <c r="S106" s="7">
        <f t="shared" si="37"/>
        <v>-11.4867908561685</v>
      </c>
      <c r="T106" s="7">
        <f t="shared" si="38"/>
        <v>-11.4867908561685</v>
      </c>
      <c r="U106" s="7">
        <f t="shared" si="39"/>
        <v>254.995138141785</v>
      </c>
      <c r="V106" s="7">
        <f t="shared" si="40"/>
        <v>254.995138141785</v>
      </c>
      <c r="W106" s="7">
        <f t="shared" si="41"/>
        <v>-430.44976982469</v>
      </c>
      <c r="X106" s="7">
        <f t="shared" si="42"/>
        <v>500.309429071726</v>
      </c>
      <c r="Y106" s="7">
        <f t="shared" si="43"/>
        <v>197.638251113211</v>
      </c>
    </row>
    <row r="107" ht="14.25">
      <c r="A107">
        <v>53</v>
      </c>
      <c r="B107">
        <f t="shared" si="25"/>
        <v>15.9</v>
      </c>
      <c r="E107">
        <f t="shared" si="26"/>
        <v>10.335</v>
      </c>
      <c r="F107">
        <f t="shared" si="27"/>
        <v>10.335</v>
      </c>
      <c r="G107">
        <f t="shared" si="28"/>
        <v>539.039164771607</v>
      </c>
      <c r="H107">
        <f t="shared" si="29"/>
        <v>539.039164771607</v>
      </c>
      <c r="I107">
        <f t="shared" si="30"/>
        <v>-49.5646999284454</v>
      </c>
      <c r="J107">
        <f t="shared" si="31"/>
        <v>541.313107763583</v>
      </c>
      <c r="K107" s="6">
        <f t="shared" si="32"/>
        <v>62.2986</v>
      </c>
      <c r="N107" s="6">
        <f t="shared" si="33"/>
        <v>95.4</v>
      </c>
      <c r="O107" s="6">
        <f t="shared" si="34"/>
        <v>140.374237009034</v>
      </c>
      <c r="P107" s="7">
        <f t="shared" si="35"/>
        <v>-13.2692721779105</v>
      </c>
      <c r="Q107" s="7"/>
      <c r="R107" s="7">
        <f t="shared" si="36"/>
        <v>445.849477632269</v>
      </c>
      <c r="S107" s="7">
        <f t="shared" si="37"/>
        <v>-8.62502691564184</v>
      </c>
      <c r="T107" s="7">
        <f t="shared" si="38"/>
        <v>-8.62502691564184</v>
      </c>
      <c r="U107" s="7">
        <f t="shared" si="39"/>
        <v>302.780901721641</v>
      </c>
      <c r="V107" s="7">
        <f t="shared" si="40"/>
        <v>302.780901721641</v>
      </c>
      <c r="W107" s="7">
        <f t="shared" si="41"/>
        <v>-429.043760641923</v>
      </c>
      <c r="X107" s="7">
        <f t="shared" si="42"/>
        <v>525.123626390143</v>
      </c>
      <c r="Y107" s="7">
        <f t="shared" si="43"/>
        <v>229.658975754141</v>
      </c>
    </row>
    <row r="108" ht="14.25">
      <c r="A108">
        <v>52</v>
      </c>
      <c r="B108">
        <f t="shared" si="25"/>
        <v>15.6</v>
      </c>
      <c r="E108">
        <f t="shared" si="26"/>
        <v>10.14</v>
      </c>
      <c r="F108">
        <f t="shared" si="27"/>
        <v>10.14</v>
      </c>
      <c r="G108">
        <f t="shared" si="28"/>
        <v>535.804580975471</v>
      </c>
      <c r="H108">
        <f t="shared" si="29"/>
        <v>535.804580975471</v>
      </c>
      <c r="I108">
        <f t="shared" si="30"/>
        <v>-49.7596999284454</v>
      </c>
      <c r="J108">
        <f t="shared" si="31"/>
        <v>538.11019013885</v>
      </c>
      <c r="K108" s="6">
        <f t="shared" si="32"/>
        <v>61.9944</v>
      </c>
      <c r="N108" s="6">
        <f t="shared" si="33"/>
        <v>93.6</v>
      </c>
      <c r="O108" s="6">
        <f t="shared" si="34"/>
        <v>140.721768708386</v>
      </c>
      <c r="P108" s="7">
        <f t="shared" si="35"/>
        <v>-8.85346325363319</v>
      </c>
      <c r="Q108" s="7"/>
      <c r="R108" s="7">
        <f t="shared" si="36"/>
        <v>446.075373236848</v>
      </c>
      <c r="S108" s="7">
        <f t="shared" si="37"/>
        <v>-5.75475111486157</v>
      </c>
      <c r="T108" s="7">
        <f t="shared" si="38"/>
        <v>-5.75475111486157</v>
      </c>
      <c r="U108" s="7">
        <f t="shared" si="39"/>
        <v>350.617810637222</v>
      </c>
      <c r="V108" s="7">
        <f t="shared" si="40"/>
        <v>350.617810637222</v>
      </c>
      <c r="W108" s="7">
        <f t="shared" si="41"/>
        <v>-427.214337066483</v>
      </c>
      <c r="X108" s="7">
        <f t="shared" si="42"/>
        <v>552.67073283393</v>
      </c>
      <c r="Y108" s="7">
        <f t="shared" si="43"/>
        <v>261.732556675852</v>
      </c>
    </row>
    <row r="109" ht="14.25">
      <c r="A109">
        <v>51</v>
      </c>
      <c r="B109">
        <f t="shared" si="25"/>
        <v>15.3</v>
      </c>
      <c r="E109">
        <f t="shared" si="26"/>
        <v>9.945</v>
      </c>
      <c r="F109">
        <f t="shared" si="27"/>
        <v>9.945</v>
      </c>
      <c r="G109">
        <f t="shared" si="28"/>
        <v>532.569997179335</v>
      </c>
      <c r="H109">
        <f t="shared" si="29"/>
        <v>532.569997179335</v>
      </c>
      <c r="I109">
        <f t="shared" si="30"/>
        <v>-49.9546999284454</v>
      </c>
      <c r="J109">
        <f t="shared" si="31"/>
        <v>534.907724697016</v>
      </c>
      <c r="K109" s="6">
        <f t="shared" si="32"/>
        <v>61.6902</v>
      </c>
      <c r="N109" s="6">
        <f t="shared" si="33"/>
        <v>91.8</v>
      </c>
      <c r="O109" s="6">
        <f t="shared" si="34"/>
        <v>140.930425011568</v>
      </c>
      <c r="P109" s="7">
        <f t="shared" si="35"/>
        <v>-4.42891703001609</v>
      </c>
      <c r="Q109" s="7"/>
      <c r="R109" s="7">
        <f t="shared" si="36"/>
        <v>446.210999833916</v>
      </c>
      <c r="S109" s="7">
        <f t="shared" si="37"/>
        <v>-2.87879606951046</v>
      </c>
      <c r="T109" s="7">
        <f t="shared" si="38"/>
        <v>-2.87879606951046</v>
      </c>
      <c r="U109" s="7">
        <f t="shared" si="39"/>
        <v>398.458655634846</v>
      </c>
      <c r="V109" s="7">
        <f t="shared" si="40"/>
        <v>398.458655634846</v>
      </c>
      <c r="W109" s="7">
        <f t="shared" si="41"/>
        <v>-424.963304518571</v>
      </c>
      <c r="X109" s="7">
        <f t="shared" si="42"/>
        <v>582.548805198047</v>
      </c>
      <c r="Y109" s="7">
        <f t="shared" si="43"/>
        <v>293.734788886085</v>
      </c>
    </row>
    <row r="110" ht="14.25">
      <c r="A110">
        <v>50</v>
      </c>
      <c r="B110">
        <f t="shared" si="25"/>
        <v>15</v>
      </c>
      <c r="E110">
        <f t="shared" si="26"/>
        <v>9.75</v>
      </c>
      <c r="F110">
        <f t="shared" si="27"/>
        <v>9.75</v>
      </c>
      <c r="G110">
        <f t="shared" si="28"/>
        <v>529.335413383199</v>
      </c>
      <c r="H110">
        <f t="shared" si="29"/>
        <v>529.335413383199</v>
      </c>
      <c r="I110">
        <f t="shared" si="30"/>
        <v>-50.1496999284454</v>
      </c>
      <c r="J110">
        <f t="shared" si="31"/>
        <v>531.705719608578</v>
      </c>
      <c r="K110" s="6">
        <f t="shared" si="32"/>
        <v>61.386</v>
      </c>
      <c r="N110" s="6">
        <f t="shared" si="33"/>
        <v>90</v>
      </c>
      <c r="O110" s="6">
        <f t="shared" si="34"/>
        <v>141</v>
      </c>
      <c r="P110" s="7">
        <f t="shared" si="35"/>
        <v>8.63375993398884e-15</v>
      </c>
      <c r="Q110" s="7"/>
      <c r="R110" s="7">
        <f t="shared" si="36"/>
        <v>446.256223576397</v>
      </c>
      <c r="S110" s="7">
        <f t="shared" si="37"/>
        <v>5.61194395709275e-15</v>
      </c>
      <c r="T110" s="7">
        <f t="shared" si="38"/>
        <v>5.61194395709275e-15</v>
      </c>
      <c r="U110" s="7">
        <f t="shared" si="39"/>
        <v>446.256223576397</v>
      </c>
      <c r="V110" s="7">
        <f t="shared" si="40"/>
        <v>446.256223576397</v>
      </c>
      <c r="W110" s="7">
        <f t="shared" si="41"/>
        <v>-422.29288449554</v>
      </c>
      <c r="X110" s="7">
        <f t="shared" si="42"/>
        <v>614.39067162208</v>
      </c>
      <c r="Y110" s="7">
        <f t="shared" si="43"/>
        <v>325.5408</v>
      </c>
    </row>
    <row r="111" ht="14.25">
      <c r="A111">
        <v>49</v>
      </c>
      <c r="B111">
        <f t="shared" si="25"/>
        <v>14.7</v>
      </c>
      <c r="E111">
        <f t="shared" si="26"/>
        <v>9.555</v>
      </c>
      <c r="F111">
        <f t="shared" si="27"/>
        <v>9.555</v>
      </c>
      <c r="G111">
        <f t="shared" si="28"/>
        <v>526.100829587063</v>
      </c>
      <c r="H111">
        <f t="shared" si="29"/>
        <v>526.100829587063</v>
      </c>
      <c r="I111">
        <f t="shared" si="30"/>
        <v>-50.3446999284454</v>
      </c>
      <c r="J111">
        <f t="shared" si="31"/>
        <v>528.504183240853</v>
      </c>
      <c r="K111" s="6">
        <f t="shared" si="32"/>
        <v>61.0818</v>
      </c>
      <c r="N111" s="6">
        <f t="shared" si="33"/>
        <v>88.2</v>
      </c>
      <c r="O111" s="6">
        <f t="shared" si="34"/>
        <v>140.930425011568</v>
      </c>
      <c r="P111" s="7">
        <f t="shared" si="35"/>
        <v>4.4289170300161</v>
      </c>
      <c r="Q111" s="7"/>
      <c r="R111" s="7">
        <f t="shared" si="36"/>
        <v>446.210999833916</v>
      </c>
      <c r="S111" s="7">
        <f t="shared" si="37"/>
        <v>2.87879606951047</v>
      </c>
      <c r="T111" s="7">
        <f t="shared" si="38"/>
        <v>2.87879606951047</v>
      </c>
      <c r="U111" s="7">
        <f t="shared" si="39"/>
        <v>493.963344032986</v>
      </c>
      <c r="V111" s="7">
        <f t="shared" si="40"/>
        <v>493.963344032986</v>
      </c>
      <c r="W111" s="7">
        <f t="shared" si="41"/>
        <v>-419.20571237955</v>
      </c>
      <c r="X111" s="7">
        <f t="shared" si="42"/>
        <v>647.868207693429</v>
      </c>
      <c r="Y111" s="7">
        <f t="shared" si="43"/>
        <v>357.025541647332</v>
      </c>
    </row>
    <row r="112" ht="14.25">
      <c r="A112">
        <v>48</v>
      </c>
      <c r="B112">
        <f t="shared" si="25"/>
        <v>14.4</v>
      </c>
      <c r="E112">
        <f t="shared" si="26"/>
        <v>9.36</v>
      </c>
      <c r="F112">
        <f t="shared" si="27"/>
        <v>9.36</v>
      </c>
      <c r="G112">
        <f t="shared" si="28"/>
        <v>522.866245790927</v>
      </c>
      <c r="H112">
        <f t="shared" si="29"/>
        <v>522.866245790927</v>
      </c>
      <c r="I112">
        <f t="shared" si="30"/>
        <v>-50.5396999284454</v>
      </c>
      <c r="J112">
        <f t="shared" si="31"/>
        <v>525.303124163902</v>
      </c>
      <c r="K112" s="6">
        <f t="shared" si="32"/>
        <v>60.7776</v>
      </c>
      <c r="N112" s="6">
        <f t="shared" si="33"/>
        <v>86.4</v>
      </c>
      <c r="O112" s="6">
        <f t="shared" si="34"/>
        <v>140.721768708386</v>
      </c>
      <c r="P112" s="7">
        <f t="shared" si="35"/>
        <v>8.85346325363318</v>
      </c>
      <c r="Q112" s="7"/>
      <c r="R112" s="7">
        <f t="shared" si="36"/>
        <v>446.075373236848</v>
      </c>
      <c r="S112" s="7">
        <f t="shared" si="37"/>
        <v>5.75475111486156</v>
      </c>
      <c r="T112" s="7">
        <f t="shared" si="38"/>
        <v>5.75475111486156</v>
      </c>
      <c r="U112" s="7">
        <f t="shared" si="39"/>
        <v>541.532935836474</v>
      </c>
      <c r="V112" s="7">
        <f t="shared" si="40"/>
        <v>541.532935836474</v>
      </c>
      <c r="W112" s="7">
        <f t="shared" si="41"/>
        <v>-415.70483483676</v>
      </c>
      <c r="X112" s="7">
        <f t="shared" si="42"/>
        <v>682.692046461894</v>
      </c>
      <c r="Y112" s="7">
        <f t="shared" si="43"/>
        <v>388.064282511993</v>
      </c>
    </row>
    <row r="113" ht="14.25">
      <c r="A113">
        <v>47</v>
      </c>
      <c r="B113">
        <f t="shared" si="25"/>
        <v>14.1</v>
      </c>
      <c r="E113">
        <f t="shared" si="26"/>
        <v>9.165</v>
      </c>
      <c r="F113">
        <f t="shared" si="27"/>
        <v>9.165</v>
      </c>
      <c r="G113">
        <f t="shared" si="28"/>
        <v>519.631661994791</v>
      </c>
      <c r="H113">
        <f t="shared" si="29"/>
        <v>519.631661994791</v>
      </c>
      <c r="I113">
        <f t="shared" si="30"/>
        <v>-50.7346999284454</v>
      </c>
      <c r="J113">
        <f t="shared" si="31"/>
        <v>522.102551156665</v>
      </c>
      <c r="K113" s="6">
        <f t="shared" si="32"/>
        <v>60.4734</v>
      </c>
      <c r="N113" s="6">
        <f t="shared" si="33"/>
        <v>84.6</v>
      </c>
      <c r="O113" s="6">
        <f t="shared" si="34"/>
        <v>140.374237009034</v>
      </c>
      <c r="P113" s="7">
        <f t="shared" si="35"/>
        <v>13.2692721779105</v>
      </c>
      <c r="Q113" s="7"/>
      <c r="R113" s="7">
        <f t="shared" si="36"/>
        <v>445.849477632269</v>
      </c>
      <c r="S113" s="7">
        <f t="shared" si="37"/>
        <v>8.62502691564186</v>
      </c>
      <c r="T113" s="7">
        <f t="shared" si="38"/>
        <v>8.62502691564186</v>
      </c>
      <c r="U113" s="7">
        <f t="shared" si="39"/>
        <v>588.918053542897</v>
      </c>
      <c r="V113" s="7">
        <f t="shared" si="40"/>
        <v>588.918053542897</v>
      </c>
      <c r="W113" s="7">
        <f t="shared" si="41"/>
        <v>-411.793706810639</v>
      </c>
      <c r="X113" s="7">
        <f t="shared" si="42"/>
        <v>718.60874664702</v>
      </c>
      <c r="Y113" s="7">
        <f t="shared" si="43"/>
        <v>418.533101058776</v>
      </c>
    </row>
    <row r="114" ht="14.25">
      <c r="A114">
        <v>46</v>
      </c>
      <c r="B114">
        <f t="shared" si="25"/>
        <v>13.8</v>
      </c>
      <c r="E114">
        <f t="shared" si="26"/>
        <v>8.97</v>
      </c>
      <c r="F114">
        <f t="shared" si="27"/>
        <v>8.97</v>
      </c>
      <c r="G114">
        <f t="shared" si="28"/>
        <v>516.397078198655</v>
      </c>
      <c r="H114">
        <f t="shared" si="29"/>
        <v>516.397078198655</v>
      </c>
      <c r="I114">
        <f t="shared" si="30"/>
        <v>-50.9296999284454</v>
      </c>
      <c r="J114">
        <f t="shared" si="31"/>
        <v>518.902473213329</v>
      </c>
      <c r="K114" s="6">
        <f t="shared" si="32"/>
        <v>60.1692</v>
      </c>
      <c r="N114" s="6">
        <f t="shared" si="33"/>
        <v>82.8</v>
      </c>
      <c r="O114" s="6">
        <f t="shared" si="34"/>
        <v>139.888172885341</v>
      </c>
      <c r="P114" s="7">
        <f t="shared" si="35"/>
        <v>17.6719859325669</v>
      </c>
      <c r="Q114" s="7"/>
      <c r="R114" s="7">
        <f t="shared" si="36"/>
        <v>445.533535951869</v>
      </c>
      <c r="S114" s="7">
        <f t="shared" si="37"/>
        <v>11.4867908561685</v>
      </c>
      <c r="T114" s="7">
        <f t="shared" si="38"/>
        <v>11.4867908561685</v>
      </c>
      <c r="U114" s="7">
        <f t="shared" si="39"/>
        <v>636.071933761953</v>
      </c>
      <c r="V114" s="7">
        <f t="shared" si="40"/>
        <v>636.071933761953</v>
      </c>
      <c r="W114" s="7">
        <f t="shared" si="41"/>
        <v>-407.476188112353</v>
      </c>
      <c r="X114" s="7">
        <f t="shared" si="42"/>
        <v>755.396815454132</v>
      </c>
      <c r="Y114" s="7">
        <f t="shared" si="43"/>
        <v>448.309376002142</v>
      </c>
    </row>
    <row r="115" ht="14.25">
      <c r="A115">
        <v>45</v>
      </c>
      <c r="B115">
        <f t="shared" si="25"/>
        <v>13.5</v>
      </c>
      <c r="E115">
        <f t="shared" si="26"/>
        <v>8.775</v>
      </c>
      <c r="F115">
        <f t="shared" si="27"/>
        <v>8.775</v>
      </c>
      <c r="G115">
        <f t="shared" si="28"/>
        <v>513.162494402519</v>
      </c>
      <c r="H115">
        <f t="shared" si="29"/>
        <v>513.162494402519</v>
      </c>
      <c r="I115">
        <f t="shared" si="30"/>
        <v>-51.1246999284454</v>
      </c>
      <c r="J115">
        <f t="shared" si="31"/>
        <v>515.702899549914</v>
      </c>
      <c r="K115" s="6">
        <f t="shared" si="32"/>
        <v>59.865</v>
      </c>
      <c r="N115" s="6">
        <f t="shared" si="33"/>
        <v>81</v>
      </c>
      <c r="O115" s="6">
        <f t="shared" si="34"/>
        <v>139.264056023914</v>
      </c>
      <c r="P115" s="7">
        <f t="shared" si="35"/>
        <v>22.0572595706726</v>
      </c>
      <c r="Q115" s="7"/>
      <c r="R115" s="7">
        <f t="shared" si="36"/>
        <v>445.127859991941</v>
      </c>
      <c r="S115" s="7">
        <f t="shared" si="37"/>
        <v>14.3372187209372</v>
      </c>
      <c r="T115" s="7">
        <f t="shared" si="38"/>
        <v>14.3372187209372</v>
      </c>
      <c r="U115" s="7">
        <f t="shared" si="39"/>
        <v>682.948041306822</v>
      </c>
      <c r="V115" s="7">
        <f t="shared" si="40"/>
        <v>682.948041306822</v>
      </c>
      <c r="W115" s="7">
        <f t="shared" si="41"/>
        <v>-402.756539611597</v>
      </c>
      <c r="X115" s="7">
        <f t="shared" si="42"/>
        <v>792.86244539941</v>
      </c>
      <c r="Y115" s="7">
        <f t="shared" si="43"/>
        <v>477.272272580031</v>
      </c>
    </row>
    <row r="116" ht="14.25">
      <c r="A116">
        <v>44</v>
      </c>
      <c r="B116">
        <f t="shared" si="25"/>
        <v>13.2</v>
      </c>
      <c r="E116">
        <f t="shared" si="26"/>
        <v>8.58</v>
      </c>
      <c r="F116">
        <f t="shared" si="27"/>
        <v>8.58</v>
      </c>
      <c r="G116">
        <f t="shared" si="28"/>
        <v>509.927910606383</v>
      </c>
      <c r="H116">
        <f t="shared" si="29"/>
        <v>509.927910606383</v>
      </c>
      <c r="I116">
        <f t="shared" si="30"/>
        <v>-51.3196999284454</v>
      </c>
      <c r="J116">
        <f t="shared" si="31"/>
        <v>512.503839611116</v>
      </c>
      <c r="K116" s="6">
        <f t="shared" si="32"/>
        <v>59.5608</v>
      </c>
      <c r="N116" s="6">
        <f t="shared" si="33"/>
        <v>79.2</v>
      </c>
      <c r="O116" s="6">
        <f t="shared" si="34"/>
        <v>138.502502352745</v>
      </c>
      <c r="P116" s="7">
        <f t="shared" si="35"/>
        <v>26.4207653565872</v>
      </c>
      <c r="Q116" s="7"/>
      <c r="R116" s="7">
        <f t="shared" si="36"/>
        <v>444.632850105681</v>
      </c>
      <c r="S116" s="7">
        <f t="shared" si="37"/>
        <v>17.1734974817817</v>
      </c>
      <c r="T116" s="7">
        <f t="shared" si="38"/>
        <v>17.1734974817817</v>
      </c>
      <c r="U116" s="7">
        <f t="shared" si="39"/>
        <v>729.50011511878</v>
      </c>
      <c r="V116" s="7">
        <f t="shared" si="40"/>
        <v>729.50011511878</v>
      </c>
      <c r="W116" s="7">
        <f t="shared" si="41"/>
        <v>-397.63941903163</v>
      </c>
      <c r="X116" s="7">
        <f t="shared" si="42"/>
        <v>830.835438294567</v>
      </c>
      <c r="Y116" s="7">
        <f t="shared" si="43"/>
        <v>505.303222711293</v>
      </c>
    </row>
    <row r="117" ht="14.25">
      <c r="A117">
        <v>43</v>
      </c>
      <c r="B117">
        <f t="shared" si="25"/>
        <v>12.9</v>
      </c>
      <c r="E117">
        <f t="shared" si="26"/>
        <v>8.385</v>
      </c>
      <c r="F117">
        <f t="shared" si="27"/>
        <v>8.385</v>
      </c>
      <c r="G117">
        <f t="shared" si="28"/>
        <v>506.693326810247</v>
      </c>
      <c r="H117">
        <f t="shared" si="29"/>
        <v>506.693326810247</v>
      </c>
      <c r="I117">
        <f t="shared" si="30"/>
        <v>-51.5146999284454</v>
      </c>
      <c r="J117">
        <f t="shared" si="31"/>
        <v>509.305303077391</v>
      </c>
      <c r="K117" s="6">
        <f t="shared" si="32"/>
        <v>59.2566</v>
      </c>
      <c r="N117" s="6">
        <f t="shared" si="33"/>
        <v>77.4</v>
      </c>
      <c r="O117" s="6">
        <f t="shared" si="34"/>
        <v>137.604263433363</v>
      </c>
      <c r="P117" s="7">
        <f t="shared" si="35"/>
        <v>30.7581970369125</v>
      </c>
      <c r="Q117" s="7"/>
      <c r="R117" s="7">
        <f t="shared" si="36"/>
        <v>444.048994808083</v>
      </c>
      <c r="S117" s="7">
        <f t="shared" si="37"/>
        <v>19.9928280739931</v>
      </c>
      <c r="T117" s="7">
        <f t="shared" si="38"/>
        <v>19.9928280739931</v>
      </c>
      <c r="U117" s="7">
        <f t="shared" si="39"/>
        <v>775.682213921273</v>
      </c>
      <c r="V117" s="7">
        <f t="shared" si="40"/>
        <v>775.682213921273</v>
      </c>
      <c r="W117" s="7">
        <f t="shared" si="41"/>
        <v>-392.129876352668</v>
      </c>
      <c r="X117" s="7">
        <f t="shared" si="42"/>
        <v>869.165540574502</v>
      </c>
      <c r="Y117" s="7">
        <f t="shared" si="43"/>
        <v>532.286397138541</v>
      </c>
    </row>
    <row r="118" ht="14.25">
      <c r="A118">
        <v>42</v>
      </c>
      <c r="B118">
        <f t="shared" si="25"/>
        <v>12.6</v>
      </c>
      <c r="E118">
        <f t="shared" si="26"/>
        <v>8.19</v>
      </c>
      <c r="F118">
        <f t="shared" si="27"/>
        <v>8.19</v>
      </c>
      <c r="G118">
        <f t="shared" si="28"/>
        <v>503.458743014111</v>
      </c>
      <c r="H118">
        <f t="shared" si="29"/>
        <v>503.458743014111</v>
      </c>
      <c r="I118">
        <f t="shared" si="30"/>
        <v>-51.7096999284454</v>
      </c>
      <c r="J118">
        <f t="shared" si="31"/>
        <v>506.107299872308</v>
      </c>
      <c r="K118" s="6">
        <f t="shared" si="32"/>
        <v>58.9524</v>
      </c>
      <c r="N118" s="6">
        <f t="shared" si="33"/>
        <v>75.6</v>
      </c>
      <c r="O118" s="6">
        <f t="shared" si="34"/>
        <v>136.570225719137</v>
      </c>
      <c r="P118" s="7">
        <f t="shared" si="35"/>
        <v>35.0652740902446</v>
      </c>
      <c r="Q118" s="7"/>
      <c r="R118" s="7">
        <f t="shared" si="36"/>
        <v>443.376870293836</v>
      </c>
      <c r="S118" s="7">
        <f t="shared" si="37"/>
        <v>22.792428158659</v>
      </c>
      <c r="T118" s="7">
        <f t="shared" si="38"/>
        <v>22.792428158659</v>
      </c>
      <c r="U118" s="7">
        <f t="shared" si="39"/>
        <v>821.448761558417</v>
      </c>
      <c r="V118" s="7">
        <f t="shared" si="40"/>
        <v>821.448761558417</v>
      </c>
      <c r="W118" s="7">
        <f t="shared" si="41"/>
        <v>-386.233348828159</v>
      </c>
      <c r="X118" s="7">
        <f t="shared" si="42"/>
        <v>907.719266961361</v>
      </c>
      <c r="Y118" s="7">
        <f t="shared" si="43"/>
        <v>558.109167688934</v>
      </c>
    </row>
    <row r="119" ht="14.25">
      <c r="A119">
        <v>41</v>
      </c>
      <c r="B119">
        <f t="shared" si="25"/>
        <v>12.3</v>
      </c>
      <c r="E119">
        <f t="shared" si="26"/>
        <v>7.995</v>
      </c>
      <c r="F119">
        <f t="shared" si="27"/>
        <v>7.995</v>
      </c>
      <c r="G119">
        <f t="shared" si="28"/>
        <v>500.224159217975</v>
      </c>
      <c r="H119">
        <f t="shared" si="29"/>
        <v>500.224159217975</v>
      </c>
      <c r="I119">
        <f t="shared" si="30"/>
        <v>-51.9046999284454</v>
      </c>
      <c r="J119">
        <f t="shared" si="31"/>
        <v>502.909840170176</v>
      </c>
      <c r="K119" s="6">
        <f t="shared" si="32"/>
        <v>58.6482</v>
      </c>
      <c r="N119" s="6">
        <f t="shared" si="33"/>
        <v>73.8</v>
      </c>
      <c r="O119" s="6">
        <f t="shared" si="34"/>
        <v>135.401409680449</v>
      </c>
      <c r="P119" s="7">
        <f t="shared" si="35"/>
        <v>39.3377459515314</v>
      </c>
      <c r="Q119" s="7"/>
      <c r="R119" s="7">
        <f t="shared" si="36"/>
        <v>442.617139868688</v>
      </c>
      <c r="S119" s="7">
        <f t="shared" si="37"/>
        <v>25.5695348684954</v>
      </c>
      <c r="T119" s="7">
        <f t="shared" si="38"/>
        <v>25.5695348684954</v>
      </c>
      <c r="U119" s="7">
        <f t="shared" si="39"/>
        <v>866.754591973155</v>
      </c>
      <c r="V119" s="7">
        <f t="shared" si="40"/>
        <v>866.754591973155</v>
      </c>
      <c r="W119" s="7">
        <f t="shared" si="41"/>
        <v>-379.955655618874</v>
      </c>
      <c r="X119" s="7">
        <f t="shared" si="42"/>
        <v>946.377209649154</v>
      </c>
      <c r="Y119" s="7">
        <f t="shared" si="43"/>
        <v>582.662557823499</v>
      </c>
    </row>
    <row r="120" ht="14.25">
      <c r="A120">
        <v>40</v>
      </c>
      <c r="B120">
        <f t="shared" si="25"/>
        <v>12</v>
      </c>
      <c r="E120">
        <f t="shared" si="26"/>
        <v>7.8</v>
      </c>
      <c r="F120">
        <f t="shared" si="27"/>
        <v>7.8</v>
      </c>
      <c r="G120">
        <f t="shared" si="28"/>
        <v>496.989575421839</v>
      </c>
      <c r="H120">
        <f t="shared" si="29"/>
        <v>496.989575421839</v>
      </c>
      <c r="I120">
        <f t="shared" si="30"/>
        <v>-52.0996999284454</v>
      </c>
      <c r="J120">
        <f t="shared" si="31"/>
        <v>499.712934403957</v>
      </c>
      <c r="K120" s="6">
        <f t="shared" si="32"/>
        <v>58.344</v>
      </c>
      <c r="N120" s="6">
        <f t="shared" si="33"/>
        <v>72</v>
      </c>
      <c r="O120" s="6">
        <f t="shared" si="34"/>
        <v>134.098968797617</v>
      </c>
      <c r="P120" s="7">
        <f t="shared" si="35"/>
        <v>43.5713962068676</v>
      </c>
      <c r="Q120" s="7"/>
      <c r="R120" s="7">
        <f t="shared" si="36"/>
        <v>441.770553294847</v>
      </c>
      <c r="S120" s="7">
        <f t="shared" si="37"/>
        <v>28.3214075344639</v>
      </c>
      <c r="T120" s="7">
        <f t="shared" si="38"/>
        <v>28.3214075344639</v>
      </c>
      <c r="U120" s="7">
        <f t="shared" si="39"/>
        <v>911.554993780706</v>
      </c>
      <c r="V120" s="7">
        <f t="shared" si="40"/>
        <v>911.554993780706</v>
      </c>
      <c r="W120" s="7">
        <f t="shared" si="41"/>
        <v>-373.302992050096</v>
      </c>
      <c r="X120" s="7">
        <f t="shared" si="42"/>
        <v>985.031791649436</v>
      </c>
      <c r="Y120" s="7">
        <f t="shared" si="43"/>
        <v>605.841679690893</v>
      </c>
    </row>
    <row r="121" ht="14.25">
      <c r="A121">
        <v>39</v>
      </c>
      <c r="B121">
        <f t="shared" si="25"/>
        <v>11.7</v>
      </c>
      <c r="E121">
        <f t="shared" si="26"/>
        <v>7.605</v>
      </c>
      <c r="F121">
        <f t="shared" si="27"/>
        <v>7.605</v>
      </c>
      <c r="G121">
        <f t="shared" si="28"/>
        <v>493.754991625703</v>
      </c>
      <c r="H121">
        <f t="shared" si="29"/>
        <v>493.754991625703</v>
      </c>
      <c r="I121">
        <f t="shared" si="30"/>
        <v>-52.2946999284454</v>
      </c>
      <c r="J121">
        <f t="shared" si="31"/>
        <v>496.516593273481</v>
      </c>
      <c r="K121" s="6">
        <f t="shared" si="32"/>
        <v>58.0398</v>
      </c>
      <c r="N121" s="6">
        <f t="shared" si="33"/>
        <v>70.2</v>
      </c>
      <c r="O121" s="6">
        <f t="shared" si="34"/>
        <v>132.664188422546</v>
      </c>
      <c r="P121" s="7">
        <f t="shared" si="35"/>
        <v>47.7620467545861</v>
      </c>
      <c r="Q121" s="7"/>
      <c r="R121" s="7">
        <f t="shared" si="36"/>
        <v>440.837946051051</v>
      </c>
      <c r="S121" s="7">
        <f t="shared" si="37"/>
        <v>31.045330390481</v>
      </c>
      <c r="T121" s="7">
        <f t="shared" si="38"/>
        <v>31.045330390481</v>
      </c>
      <c r="U121" s="7">
        <f t="shared" si="39"/>
        <v>955.805754393307</v>
      </c>
      <c r="V121" s="7">
        <f t="shared" si="40"/>
        <v>955.805754393307</v>
      </c>
      <c r="W121" s="7">
        <f t="shared" si="41"/>
        <v>-366.281923497581</v>
      </c>
      <c r="X121" s="7">
        <f t="shared" si="42"/>
        <v>1023.58540806932</v>
      </c>
      <c r="Y121" s="7">
        <f t="shared" si="43"/>
        <v>627.546155953884</v>
      </c>
    </row>
    <row r="122" ht="14.25">
      <c r="A122">
        <v>38</v>
      </c>
      <c r="B122">
        <f t="shared" si="25"/>
        <v>11.4</v>
      </c>
      <c r="E122">
        <f t="shared" si="26"/>
        <v>7.41</v>
      </c>
      <c r="F122">
        <f t="shared" si="27"/>
        <v>7.41</v>
      </c>
      <c r="G122">
        <f t="shared" si="28"/>
        <v>490.520407829567</v>
      </c>
      <c r="H122">
        <f t="shared" si="29"/>
        <v>490.520407829567</v>
      </c>
      <c r="I122">
        <f t="shared" si="30"/>
        <v>-52.4896999284454</v>
      </c>
      <c r="J122">
        <f t="shared" si="31"/>
        <v>493.32082775397</v>
      </c>
      <c r="K122" s="6">
        <f t="shared" si="32"/>
        <v>57.7356</v>
      </c>
      <c r="N122" s="6">
        <f t="shared" si="33"/>
        <v>68.4</v>
      </c>
      <c r="O122" s="6">
        <f t="shared" si="34"/>
        <v>131.098484510243</v>
      </c>
      <c r="P122" s="7">
        <f t="shared" si="35"/>
        <v>51.9055619285396</v>
      </c>
      <c r="Q122" s="7"/>
      <c r="R122" s="7">
        <f t="shared" si="36"/>
        <v>439.820238508055</v>
      </c>
      <c r="S122" s="7">
        <f t="shared" si="37"/>
        <v>33.7386152535507</v>
      </c>
      <c r="T122" s="7">
        <f t="shared" si="38"/>
        <v>33.7386152535507</v>
      </c>
      <c r="U122" s="7">
        <f t="shared" si="39"/>
        <v>999.46320365269</v>
      </c>
      <c r="V122" s="7">
        <f t="shared" si="40"/>
        <v>999.46320365269</v>
      </c>
      <c r="W122" s="7">
        <f t="shared" si="41"/>
        <v>-358.899378908326</v>
      </c>
      <c r="X122" s="7">
        <f t="shared" si="42"/>
        <v>1061.9488969044</v>
      </c>
      <c r="Y122" s="7">
        <f t="shared" si="43"/>
        <v>647.680524715996</v>
      </c>
    </row>
    <row r="123" ht="14.25">
      <c r="A123">
        <v>37</v>
      </c>
      <c r="B123">
        <f t="shared" si="25"/>
        <v>11.1</v>
      </c>
      <c r="E123">
        <f t="shared" si="26"/>
        <v>7.215</v>
      </c>
      <c r="F123">
        <f t="shared" si="27"/>
        <v>7.215</v>
      </c>
      <c r="G123">
        <f t="shared" si="28"/>
        <v>487.285824033431</v>
      </c>
      <c r="H123">
        <f t="shared" si="29"/>
        <v>487.285824033431</v>
      </c>
      <c r="I123">
        <f t="shared" si="30"/>
        <v>-52.6846999284454</v>
      </c>
      <c r="J123">
        <f t="shared" si="31"/>
        <v>490.12564910489</v>
      </c>
      <c r="K123" s="6">
        <f t="shared" si="32"/>
        <v>57.4314</v>
      </c>
      <c r="N123" s="6">
        <f t="shared" si="33"/>
        <v>66.6</v>
      </c>
      <c r="O123" s="6">
        <f t="shared" si="34"/>
        <v>129.403402221441</v>
      </c>
      <c r="P123" s="7">
        <f t="shared" si="35"/>
        <v>55.9978525795041</v>
      </c>
      <c r="Q123" s="7"/>
      <c r="R123" s="7">
        <f t="shared" si="36"/>
        <v>438.718435020334</v>
      </c>
      <c r="S123" s="7">
        <f t="shared" si="37"/>
        <v>36.3986041766776</v>
      </c>
      <c r="T123" s="7">
        <f t="shared" si="38"/>
        <v>36.3986041766776</v>
      </c>
      <c r="U123" s="7">
        <f t="shared" si="39"/>
        <v>1042.48425692726</v>
      </c>
      <c r="V123" s="7">
        <f t="shared" si="40"/>
        <v>1042.48425692726</v>
      </c>
      <c r="W123" s="7">
        <f t="shared" si="41"/>
        <v>-351.162643962535</v>
      </c>
      <c r="X123" s="7">
        <f t="shared" si="42"/>
        <v>1100.04028492412</v>
      </c>
      <c r="Y123" s="7">
        <f t="shared" si="43"/>
        <v>666.154625941609</v>
      </c>
    </row>
    <row r="124" ht="14.25">
      <c r="A124">
        <v>36</v>
      </c>
      <c r="B124">
        <f t="shared" si="25"/>
        <v>10.8</v>
      </c>
      <c r="E124">
        <f t="shared" si="26"/>
        <v>7.02</v>
      </c>
      <c r="F124">
        <f t="shared" si="27"/>
        <v>7.02</v>
      </c>
      <c r="G124">
        <f t="shared" si="28"/>
        <v>484.051240237294</v>
      </c>
      <c r="H124">
        <f t="shared" si="29"/>
        <v>484.051240237294</v>
      </c>
      <c r="I124">
        <f t="shared" si="30"/>
        <v>-52.8796999284454</v>
      </c>
      <c r="J124">
        <f t="shared" si="31"/>
        <v>486.931068879144</v>
      </c>
      <c r="K124" s="6">
        <f t="shared" si="32"/>
        <v>57.1272</v>
      </c>
      <c r="N124" s="6">
        <f t="shared" si="33"/>
        <v>64.8</v>
      </c>
      <c r="O124" s="6">
        <f t="shared" si="34"/>
        <v>127.580614397709</v>
      </c>
      <c r="P124" s="7">
        <f t="shared" si="35"/>
        <v>60.0348801106752</v>
      </c>
      <c r="Q124" s="7"/>
      <c r="R124" s="7">
        <f t="shared" si="36"/>
        <v>437.533622934907</v>
      </c>
      <c r="S124" s="7">
        <f t="shared" si="37"/>
        <v>39.0226720719389</v>
      </c>
      <c r="T124" s="7">
        <f t="shared" si="38"/>
        <v>39.0226720719389</v>
      </c>
      <c r="U124" s="7">
        <f t="shared" si="39"/>
        <v>1084.82645763144</v>
      </c>
      <c r="V124" s="7">
        <f t="shared" si="40"/>
        <v>1084.82645763144</v>
      </c>
      <c r="W124" s="7">
        <f t="shared" si="41"/>
        <v>-343.079353883534</v>
      </c>
      <c r="X124" s="7">
        <f t="shared" si="42"/>
        <v>1137.78376075524</v>
      </c>
      <c r="Y124" s="7">
        <f t="shared" si="43"/>
        <v>682.883967834936</v>
      </c>
    </row>
    <row r="125" ht="14.25">
      <c r="A125">
        <v>35</v>
      </c>
      <c r="B125">
        <f t="shared" si="25"/>
        <v>10.5</v>
      </c>
      <c r="E125">
        <f t="shared" si="26"/>
        <v>6.825</v>
      </c>
      <c r="F125">
        <f t="shared" si="27"/>
        <v>6.825</v>
      </c>
      <c r="G125">
        <f t="shared" si="28"/>
        <v>480.816656441158</v>
      </c>
      <c r="H125">
        <f t="shared" si="29"/>
        <v>480.816656441158</v>
      </c>
      <c r="I125">
        <f t="shared" si="30"/>
        <v>-53.0746999284454</v>
      </c>
      <c r="J125">
        <f t="shared" si="31"/>
        <v>483.737098932622</v>
      </c>
      <c r="K125" s="6">
        <f t="shared" si="32"/>
        <v>56.823</v>
      </c>
      <c r="N125" s="6">
        <f t="shared" si="33"/>
        <v>63</v>
      </c>
      <c r="O125" s="6">
        <f t="shared" si="34"/>
        <v>125.63191991056</v>
      </c>
      <c r="P125" s="7">
        <f t="shared" si="35"/>
        <v>64.0126604632761</v>
      </c>
      <c r="Q125" s="7"/>
      <c r="R125" s="7">
        <f t="shared" si="36"/>
        <v>436.266971518261</v>
      </c>
      <c r="S125" s="7">
        <f t="shared" si="37"/>
        <v>41.6082293011295</v>
      </c>
      <c r="T125" s="7">
        <f t="shared" si="38"/>
        <v>41.6082293011295</v>
      </c>
      <c r="U125" s="7">
        <f t="shared" si="39"/>
        <v>1126.44801912517</v>
      </c>
      <c r="V125" s="7">
        <f t="shared" si="40"/>
        <v>1126.44801912517</v>
      </c>
      <c r="W125" s="7">
        <f t="shared" si="41"/>
        <v>-334.657485902721</v>
      </c>
      <c r="X125" s="7">
        <f t="shared" si="42"/>
        <v>1175.10883439013</v>
      </c>
      <c r="Y125" s="7">
        <f t="shared" si="43"/>
        <v>697.790071721518</v>
      </c>
    </row>
    <row r="126" ht="14.25">
      <c r="A126">
        <v>34</v>
      </c>
      <c r="B126">
        <f t="shared" si="25"/>
        <v>10.2</v>
      </c>
      <c r="E126">
        <f t="shared" si="26"/>
        <v>6.63</v>
      </c>
      <c r="F126">
        <f t="shared" si="27"/>
        <v>6.63</v>
      </c>
      <c r="G126">
        <f t="shared" si="28"/>
        <v>477.582072645022</v>
      </c>
      <c r="H126">
        <f t="shared" si="29"/>
        <v>477.582072645022</v>
      </c>
      <c r="I126">
        <f t="shared" si="30"/>
        <v>-53.2696999284454</v>
      </c>
      <c r="J126">
        <f t="shared" si="31"/>
        <v>480.543751434125</v>
      </c>
      <c r="K126" s="6">
        <f t="shared" si="32"/>
        <v>56.5188</v>
      </c>
      <c r="N126" s="6">
        <f t="shared" si="33"/>
        <v>61.2</v>
      </c>
      <c r="O126" s="6">
        <f t="shared" si="34"/>
        <v>123.559241886185</v>
      </c>
      <c r="P126" s="7">
        <f t="shared" si="35"/>
        <v>67.9272680483418</v>
      </c>
      <c r="Q126" s="7"/>
      <c r="R126" s="7">
        <f t="shared" si="36"/>
        <v>434.919730802417</v>
      </c>
      <c r="S126" s="7">
        <f t="shared" si="37"/>
        <v>44.1527242314222</v>
      </c>
      <c r="T126" s="7">
        <f t="shared" si="38"/>
        <v>44.1527242314222</v>
      </c>
      <c r="U126" s="7">
        <f t="shared" si="39"/>
        <v>1167.30786595227</v>
      </c>
      <c r="V126" s="7">
        <f t="shared" si="40"/>
        <v>1167.30786595227</v>
      </c>
      <c r="W126" s="7">
        <f t="shared" si="41"/>
        <v>-325.905351387011</v>
      </c>
      <c r="X126" s="7">
        <f t="shared" si="42"/>
        <v>1211.94964910954</v>
      </c>
      <c r="Y126" s="7">
        <f t="shared" si="43"/>
        <v>710.800794059879</v>
      </c>
    </row>
    <row r="127" ht="14.25">
      <c r="A127">
        <v>33</v>
      </c>
      <c r="B127">
        <f t="shared" si="25"/>
        <v>9.9</v>
      </c>
      <c r="E127">
        <f t="shared" si="26"/>
        <v>6.435</v>
      </c>
      <c r="F127">
        <f t="shared" si="27"/>
        <v>6.435</v>
      </c>
      <c r="G127">
        <f t="shared" si="28"/>
        <v>474.347488848886</v>
      </c>
      <c r="H127">
        <f t="shared" si="29"/>
        <v>474.347488848886</v>
      </c>
      <c r="I127">
        <f t="shared" si="30"/>
        <v>-53.4646999284454</v>
      </c>
      <c r="J127">
        <f t="shared" si="31"/>
        <v>477.351038875672</v>
      </c>
      <c r="K127" s="6">
        <f t="shared" si="32"/>
        <v>56.2146</v>
      </c>
      <c r="N127" s="6">
        <f t="shared" si="33"/>
        <v>59.4</v>
      </c>
      <c r="O127" s="6">
        <f t="shared" si="34"/>
        <v>121.364625807556</v>
      </c>
      <c r="P127" s="7">
        <f t="shared" si="35"/>
        <v>71.7748396208023</v>
      </c>
      <c r="Q127" s="7"/>
      <c r="R127" s="7">
        <f t="shared" si="36"/>
        <v>433.493230351308</v>
      </c>
      <c r="S127" s="7">
        <f t="shared" si="37"/>
        <v>46.6536457535215</v>
      </c>
      <c r="T127" s="7">
        <f t="shared" si="38"/>
        <v>46.6536457535215</v>
      </c>
      <c r="U127" s="7">
        <f t="shared" si="39"/>
        <v>1207.36567437701</v>
      </c>
      <c r="V127" s="7">
        <f t="shared" si="40"/>
        <v>1207.36567437701</v>
      </c>
      <c r="W127" s="7">
        <f t="shared" si="41"/>
        <v>-316.831587636512</v>
      </c>
      <c r="X127" s="7">
        <f t="shared" si="42"/>
        <v>1248.24441780772</v>
      </c>
      <c r="Y127" s="7">
        <f t="shared" si="43"/>
        <v>721.85062430037</v>
      </c>
    </row>
    <row r="128" ht="14.25">
      <c r="A128">
        <v>32</v>
      </c>
      <c r="B128">
        <f t="shared" si="25"/>
        <v>9.6</v>
      </c>
      <c r="E128">
        <f t="shared" si="26"/>
        <v>6.24</v>
      </c>
      <c r="F128">
        <f t="shared" si="27"/>
        <v>6.24</v>
      </c>
      <c r="G128">
        <f t="shared" si="28"/>
        <v>471.11290505275</v>
      </c>
      <c r="H128">
        <f t="shared" si="29"/>
        <v>471.11290505275</v>
      </c>
      <c r="I128">
        <f t="shared" si="30"/>
        <v>-53.6596999284454</v>
      </c>
      <c r="J128">
        <f t="shared" si="31"/>
        <v>474.158974083221</v>
      </c>
      <c r="K128" s="6">
        <f t="shared" si="32"/>
        <v>55.9104</v>
      </c>
      <c r="N128" s="6">
        <f t="shared" si="33"/>
        <v>57.6</v>
      </c>
      <c r="O128" s="6">
        <f t="shared" si="34"/>
        <v>119.050237495784</v>
      </c>
      <c r="P128" s="7">
        <f t="shared" si="35"/>
        <v>75.5515780920385</v>
      </c>
      <c r="Q128" s="7"/>
      <c r="R128" s="7">
        <f t="shared" si="36"/>
        <v>431.988877948656</v>
      </c>
      <c r="S128" s="7">
        <f t="shared" si="37"/>
        <v>49.108525759825</v>
      </c>
      <c r="T128" s="7">
        <f t="shared" si="38"/>
        <v>49.108525759825</v>
      </c>
      <c r="U128" s="7">
        <f t="shared" si="39"/>
        <v>1246.58191217871</v>
      </c>
      <c r="V128" s="7">
        <f t="shared" si="40"/>
        <v>1246.58191217871</v>
      </c>
      <c r="W128" s="7">
        <f t="shared" si="41"/>
        <v>-307.445149360556</v>
      </c>
      <c r="X128" s="7">
        <f t="shared" si="42"/>
        <v>1283.93496082802</v>
      </c>
      <c r="Y128" s="7">
        <f t="shared" si="43"/>
        <v>730.880957402717</v>
      </c>
    </row>
    <row r="129" ht="14.25">
      <c r="A129">
        <v>31</v>
      </c>
      <c r="B129">
        <f t="shared" si="25"/>
        <v>9.3</v>
      </c>
      <c r="E129">
        <f t="shared" si="26"/>
        <v>6.045</v>
      </c>
      <c r="F129">
        <f t="shared" si="27"/>
        <v>6.045</v>
      </c>
      <c r="G129">
        <f t="shared" si="28"/>
        <v>467.878321256614</v>
      </c>
      <c r="H129">
        <f t="shared" si="29"/>
        <v>467.878321256614</v>
      </c>
      <c r="I129">
        <f t="shared" si="30"/>
        <v>-53.8546999284454</v>
      </c>
      <c r="J129">
        <f t="shared" si="31"/>
        <v>470.967570227813</v>
      </c>
      <c r="K129" s="6">
        <f t="shared" si="32"/>
        <v>55.6062</v>
      </c>
      <c r="N129" s="6">
        <f t="shared" si="33"/>
        <v>55.8</v>
      </c>
      <c r="O129" s="6">
        <f t="shared" si="34"/>
        <v>116.618360972713</v>
      </c>
      <c r="P129" s="7">
        <f t="shared" si="35"/>
        <v>79.2537562771504</v>
      </c>
      <c r="Q129" s="7"/>
      <c r="R129" s="7">
        <f t="shared" si="36"/>
        <v>430.40815820866</v>
      </c>
      <c r="S129" s="7">
        <f t="shared" si="37"/>
        <v>51.5149415801478</v>
      </c>
      <c r="T129" s="7">
        <f t="shared" si="38"/>
        <v>51.5149415801478</v>
      </c>
      <c r="U129" s="7">
        <f t="shared" si="39"/>
        <v>1284.91787766528</v>
      </c>
      <c r="V129" s="7">
        <f t="shared" si="40"/>
        <v>1284.91787766528</v>
      </c>
      <c r="W129" s="7">
        <f t="shared" si="41"/>
        <v>-297.755299840485</v>
      </c>
      <c r="X129" s="7">
        <f t="shared" si="42"/>
        <v>1318.96632668425</v>
      </c>
      <c r="Y129" s="7">
        <f t="shared" si="43"/>
        <v>737.840339922989</v>
      </c>
    </row>
    <row r="130" ht="14.25">
      <c r="A130">
        <v>30</v>
      </c>
      <c r="B130">
        <f t="shared" si="25"/>
        <v>9</v>
      </c>
      <c r="E130">
        <f t="shared" si="26"/>
        <v>5.85</v>
      </c>
      <c r="F130">
        <f t="shared" si="27"/>
        <v>5.85</v>
      </c>
      <c r="G130">
        <f t="shared" si="28"/>
        <v>464.643737460478</v>
      </c>
      <c r="H130">
        <f t="shared" si="29"/>
        <v>464.643737460478</v>
      </c>
      <c r="I130">
        <f t="shared" si="30"/>
        <v>-54.0496999284454</v>
      </c>
      <c r="J130">
        <f t="shared" si="31"/>
        <v>467.776840837163</v>
      </c>
      <c r="K130" s="6">
        <f t="shared" si="32"/>
        <v>55.302</v>
      </c>
      <c r="N130" s="6">
        <f t="shared" si="33"/>
        <v>54</v>
      </c>
      <c r="O130" s="6">
        <f t="shared" si="34"/>
        <v>114.071396206868</v>
      </c>
      <c r="P130" s="7">
        <f t="shared" si="35"/>
        <v>82.8777205732387</v>
      </c>
      <c r="Q130" s="7"/>
      <c r="R130" s="7">
        <f t="shared" si="36"/>
        <v>428.752631110861</v>
      </c>
      <c r="S130" s="7">
        <f t="shared" si="37"/>
        <v>53.8705183726052</v>
      </c>
      <c r="T130" s="7">
        <f t="shared" si="38"/>
        <v>53.8705183726052</v>
      </c>
      <c r="U130" s="7">
        <f t="shared" si="39"/>
        <v>1322.33573786716</v>
      </c>
      <c r="V130" s="7">
        <f t="shared" si="40"/>
        <v>1322.33573786716</v>
      </c>
      <c r="W130" s="7">
        <f t="shared" si="41"/>
        <v>-287.771601787903</v>
      </c>
      <c r="X130" s="7">
        <f t="shared" si="42"/>
        <v>1353.28648054884</v>
      </c>
      <c r="Y130" s="7">
        <f t="shared" si="43"/>
        <v>742.684688684177</v>
      </c>
    </row>
    <row r="131" ht="14.25">
      <c r="A131">
        <v>29</v>
      </c>
      <c r="B131">
        <f t="shared" si="25"/>
        <v>8.7</v>
      </c>
      <c r="E131">
        <f t="shared" si="26"/>
        <v>5.655</v>
      </c>
      <c r="F131">
        <f t="shared" si="27"/>
        <v>5.655</v>
      </c>
      <c r="G131">
        <f t="shared" si="28"/>
        <v>461.409153664342</v>
      </c>
      <c r="H131">
        <f t="shared" si="29"/>
        <v>461.409153664342</v>
      </c>
      <c r="I131">
        <f t="shared" si="30"/>
        <v>-54.2446999284454</v>
      </c>
      <c r="J131">
        <f t="shared" si="31"/>
        <v>464.586799807713</v>
      </c>
      <c r="K131" s="6">
        <f t="shared" si="32"/>
        <v>54.9978</v>
      </c>
      <c r="N131" s="6">
        <f t="shared" si="33"/>
        <v>52.2</v>
      </c>
      <c r="O131" s="6">
        <f t="shared" si="34"/>
        <v>111.411856744972</v>
      </c>
      <c r="P131" s="7">
        <f t="shared" si="35"/>
        <v>86.4198945650697</v>
      </c>
      <c r="Q131" s="7"/>
      <c r="R131" s="7">
        <f t="shared" si="36"/>
        <v>427.023930460629</v>
      </c>
      <c r="S131" s="7">
        <f t="shared" si="37"/>
        <v>56.1729314672953</v>
      </c>
      <c r="T131" s="7">
        <f t="shared" si="38"/>
        <v>56.1729314672953</v>
      </c>
      <c r="U131" s="7">
        <f t="shared" si="39"/>
        <v>1358.79856587383</v>
      </c>
      <c r="V131" s="7">
        <f t="shared" si="40"/>
        <v>1358.79856587383</v>
      </c>
      <c r="W131" s="7">
        <f t="shared" si="41"/>
        <v>-277.503907907444</v>
      </c>
      <c r="X131" s="7">
        <f t="shared" si="42"/>
        <v>1386.84604824208</v>
      </c>
      <c r="Y131" s="7">
        <f t="shared" si="43"/>
        <v>745.377481151989</v>
      </c>
    </row>
    <row r="132" ht="14.25">
      <c r="A132">
        <v>28</v>
      </c>
      <c r="B132">
        <f t="shared" si="25"/>
        <v>8.4</v>
      </c>
      <c r="E132">
        <f t="shared" si="26"/>
        <v>5.46</v>
      </c>
      <c r="F132">
        <f t="shared" si="27"/>
        <v>5.46</v>
      </c>
      <c r="G132">
        <f t="shared" si="28"/>
        <v>458.174569868206</v>
      </c>
      <c r="H132">
        <f t="shared" si="29"/>
        <v>458.174569868206</v>
      </c>
      <c r="I132">
        <f t="shared" si="30"/>
        <v>-54.4396999284454</v>
      </c>
      <c r="J132">
        <f t="shared" si="31"/>
        <v>461.397461417176</v>
      </c>
      <c r="K132" s="6">
        <f t="shared" si="32"/>
        <v>54.6936</v>
      </c>
      <c r="N132" s="6">
        <f t="shared" si="33"/>
        <v>50.4</v>
      </c>
      <c r="O132" s="6">
        <f t="shared" si="34"/>
        <v>108.642367231386</v>
      </c>
      <c r="P132" s="7">
        <f t="shared" si="35"/>
        <v>89.8767825545653</v>
      </c>
      <c r="Q132" s="7"/>
      <c r="R132" s="7">
        <f t="shared" si="36"/>
        <v>425.223762276798</v>
      </c>
      <c r="S132" s="7">
        <f t="shared" si="37"/>
        <v>58.4199086604674</v>
      </c>
      <c r="T132" s="7">
        <f t="shared" si="38"/>
        <v>58.4199086604674</v>
      </c>
      <c r="U132" s="7">
        <f t="shared" si="39"/>
        <v>1394.27037727626</v>
      </c>
      <c r="V132" s="7">
        <f t="shared" si="40"/>
        <v>1394.27037727626</v>
      </c>
      <c r="W132" s="7">
        <f t="shared" si="41"/>
        <v>-266.962351173333</v>
      </c>
      <c r="X132" s="7">
        <f t="shared" si="42"/>
        <v>1419.59810576589</v>
      </c>
      <c r="Y132" s="7">
        <f t="shared" si="43"/>
        <v>745.889916748359</v>
      </c>
    </row>
    <row r="133" ht="14.25">
      <c r="A133">
        <v>27</v>
      </c>
      <c r="B133">
        <f t="shared" si="25"/>
        <v>8.1</v>
      </c>
      <c r="E133">
        <f t="shared" si="26"/>
        <v>5.265</v>
      </c>
      <c r="F133">
        <f t="shared" si="27"/>
        <v>5.265</v>
      </c>
      <c r="G133">
        <f t="shared" si="28"/>
        <v>454.93998607207</v>
      </c>
      <c r="H133">
        <f t="shared" si="29"/>
        <v>454.93998607207</v>
      </c>
      <c r="I133">
        <f t="shared" si="30"/>
        <v>-54.6346999284454</v>
      </c>
      <c r="J133">
        <f t="shared" si="31"/>
        <v>458.208840337598</v>
      </c>
      <c r="K133" s="6">
        <f t="shared" si="32"/>
        <v>54.3894</v>
      </c>
      <c r="N133" s="6">
        <f t="shared" si="33"/>
        <v>48.6</v>
      </c>
      <c r="O133" s="6">
        <f t="shared" si="34"/>
        <v>105.765660817895</v>
      </c>
      <c r="P133" s="7">
        <f t="shared" si="35"/>
        <v>93.2449730106349</v>
      </c>
      <c r="Q133" s="7"/>
      <c r="R133" s="7">
        <f t="shared" si="36"/>
        <v>423.353903108028</v>
      </c>
      <c r="S133" s="7">
        <f t="shared" si="37"/>
        <v>60.6092324569127</v>
      </c>
      <c r="T133" s="7">
        <f t="shared" si="38"/>
        <v>60.6092324569127</v>
      </c>
      <c r="U133" s="7">
        <f t="shared" si="39"/>
        <v>1428.71616567917</v>
      </c>
      <c r="V133" s="7">
        <f t="shared" si="40"/>
        <v>1428.71616567917</v>
      </c>
      <c r="W133" s="7">
        <f t="shared" si="41"/>
        <v>-256.157334829369</v>
      </c>
      <c r="X133" s="7">
        <f t="shared" si="42"/>
        <v>1451.49800628863</v>
      </c>
      <c r="Y133" s="7">
        <f t="shared" si="43"/>
        <v>744.201048449075</v>
      </c>
    </row>
    <row r="134" ht="14.25">
      <c r="A134">
        <v>26</v>
      </c>
      <c r="B134">
        <f t="shared" si="25"/>
        <v>7.8</v>
      </c>
      <c r="E134">
        <f t="shared" si="26"/>
        <v>5.07</v>
      </c>
      <c r="F134">
        <f t="shared" si="27"/>
        <v>5.07</v>
      </c>
      <c r="G134">
        <f t="shared" si="28"/>
        <v>451.705402275934</v>
      </c>
      <c r="H134">
        <f t="shared" si="29"/>
        <v>451.705402275934</v>
      </c>
      <c r="I134">
        <f t="shared" si="30"/>
        <v>-54.8296999284454</v>
      </c>
      <c r="J134">
        <f t="shared" si="31"/>
        <v>455.02095164894</v>
      </c>
      <c r="K134" s="6">
        <f t="shared" si="32"/>
        <v>54.0852</v>
      </c>
      <c r="N134" s="6">
        <f t="shared" si="33"/>
        <v>46.8</v>
      </c>
      <c r="O134" s="6">
        <f t="shared" si="34"/>
        <v>102.784576466419</v>
      </c>
      <c r="P134" s="7">
        <f t="shared" si="35"/>
        <v>96.5211419359451</v>
      </c>
      <c r="Q134" s="7"/>
      <c r="R134" s="7">
        <f t="shared" si="36"/>
        <v>421.416198279569</v>
      </c>
      <c r="S134" s="7">
        <f t="shared" si="37"/>
        <v>62.7387422583643</v>
      </c>
      <c r="T134" s="7">
        <f t="shared" si="38"/>
        <v>62.7387422583643</v>
      </c>
      <c r="U134" s="7">
        <f t="shared" si="39"/>
        <v>1462.10193724809</v>
      </c>
      <c r="V134" s="7">
        <f t="shared" si="40"/>
        <v>1462.10193724809</v>
      </c>
      <c r="W134" s="7">
        <f t="shared" si="41"/>
        <v>-245.099522122178</v>
      </c>
      <c r="X134" s="7">
        <f t="shared" si="42"/>
        <v>1482.50323798943</v>
      </c>
      <c r="Y134" s="7">
        <f t="shared" si="43"/>
        <v>740.297884128489</v>
      </c>
    </row>
    <row r="135" ht="14.25">
      <c r="A135">
        <v>25</v>
      </c>
      <c r="B135">
        <f t="shared" si="25"/>
        <v>7.5</v>
      </c>
      <c r="E135">
        <f t="shared" si="26"/>
        <v>4.875</v>
      </c>
      <c r="F135">
        <f t="shared" si="27"/>
        <v>4.875</v>
      </c>
      <c r="G135">
        <f t="shared" si="28"/>
        <v>448.470818479798</v>
      </c>
      <c r="H135">
        <f t="shared" si="29"/>
        <v>448.470818479798</v>
      </c>
      <c r="I135">
        <f t="shared" si="30"/>
        <v>-55.0246999284454</v>
      </c>
      <c r="J135">
        <f t="shared" si="31"/>
        <v>451.833810853233</v>
      </c>
      <c r="K135" s="6">
        <f t="shared" si="32"/>
        <v>53.781</v>
      </c>
      <c r="N135" s="6">
        <f t="shared" si="33"/>
        <v>45</v>
      </c>
      <c r="O135" s="6">
        <f t="shared" si="34"/>
        <v>99.7020561473032</v>
      </c>
      <c r="P135" s="7">
        <f t="shared" si="35"/>
        <v>99.7020561473032</v>
      </c>
      <c r="Q135" s="7"/>
      <c r="R135" s="7">
        <f t="shared" si="36"/>
        <v>419.412560072144</v>
      </c>
      <c r="S135" s="7">
        <f t="shared" si="37"/>
        <v>64.8063364957471</v>
      </c>
      <c r="T135" s="7">
        <f t="shared" si="38"/>
        <v>64.8063364957471</v>
      </c>
      <c r="U135" s="7">
        <f t="shared" si="39"/>
        <v>1494.39474425719</v>
      </c>
      <c r="V135" s="7">
        <f t="shared" si="40"/>
        <v>1494.39474425719</v>
      </c>
      <c r="W135" s="7">
        <f t="shared" si="41"/>
        <v>-233.799825777877</v>
      </c>
      <c r="X135" s="7">
        <f t="shared" si="42"/>
        <v>1512.5733073796</v>
      </c>
      <c r="Y135" s="7">
        <f t="shared" si="43"/>
        <v>734.175457232894</v>
      </c>
    </row>
    <row r="136" ht="14.25">
      <c r="A136">
        <v>24</v>
      </c>
      <c r="B136">
        <f t="shared" si="25"/>
        <v>7.2</v>
      </c>
      <c r="E136">
        <f t="shared" si="26"/>
        <v>4.68</v>
      </c>
      <c r="F136">
        <f t="shared" si="27"/>
        <v>4.68</v>
      </c>
      <c r="G136">
        <f t="shared" si="28"/>
        <v>445.236234683662</v>
      </c>
      <c r="H136">
        <f t="shared" si="29"/>
        <v>445.236234683662</v>
      </c>
      <c r="I136">
        <f t="shared" si="30"/>
        <v>-55.2196999284454</v>
      </c>
      <c r="J136">
        <f t="shared" si="31"/>
        <v>448.647433889321</v>
      </c>
      <c r="K136" s="6">
        <f t="shared" si="32"/>
        <v>53.4768</v>
      </c>
      <c r="N136" s="6">
        <f t="shared" si="33"/>
        <v>43.2</v>
      </c>
      <c r="O136" s="6">
        <f t="shared" si="34"/>
        <v>96.5211419359451</v>
      </c>
      <c r="P136" s="7">
        <f t="shared" si="35"/>
        <v>102.784576466419</v>
      </c>
      <c r="Q136" s="7"/>
      <c r="R136" s="7">
        <f t="shared" si="36"/>
        <v>417.344965834761</v>
      </c>
      <c r="S136" s="7">
        <f t="shared" si="37"/>
        <v>66.8099747031724</v>
      </c>
      <c r="T136" s="7">
        <f t="shared" si="38"/>
        <v>66.8099747031724</v>
      </c>
      <c r="U136" s="7">
        <f t="shared" si="39"/>
        <v>1525.56271760471</v>
      </c>
      <c r="V136" s="7">
        <f t="shared" si="40"/>
        <v>1525.56271760471</v>
      </c>
      <c r="W136" s="7">
        <f t="shared" si="41"/>
        <v>-222.269397232528</v>
      </c>
      <c r="X136" s="7">
        <f t="shared" si="42"/>
        <v>1541.6696436953</v>
      </c>
      <c r="Y136" s="7">
        <f t="shared" si="43"/>
        <v>725.836866484531</v>
      </c>
    </row>
    <row r="137" ht="14.25">
      <c r="A137">
        <v>23</v>
      </c>
      <c r="B137">
        <f t="shared" si="25"/>
        <v>6.9</v>
      </c>
      <c r="E137">
        <f t="shared" si="26"/>
        <v>4.485</v>
      </c>
      <c r="F137">
        <f t="shared" si="27"/>
        <v>4.485</v>
      </c>
      <c r="G137">
        <f t="shared" si="28"/>
        <v>442.001650887526</v>
      </c>
      <c r="H137">
        <f t="shared" si="29"/>
        <v>442.001650887526</v>
      </c>
      <c r="I137">
        <f t="shared" si="30"/>
        <v>-55.4146999284454</v>
      </c>
      <c r="J137">
        <f t="shared" si="31"/>
        <v>445.461837148209</v>
      </c>
      <c r="K137" s="6">
        <f t="shared" si="32"/>
        <v>53.1726</v>
      </c>
      <c r="N137" s="6">
        <f t="shared" si="33"/>
        <v>41.4</v>
      </c>
      <c r="O137" s="6">
        <f t="shared" si="34"/>
        <v>93.2449730106349</v>
      </c>
      <c r="P137" s="7">
        <f t="shared" si="35"/>
        <v>105.765660817895</v>
      </c>
      <c r="Q137" s="7"/>
      <c r="R137" s="7">
        <f t="shared" si="36"/>
        <v>415.215456033309</v>
      </c>
      <c r="S137" s="7">
        <f t="shared" si="37"/>
        <v>68.7476795316316</v>
      </c>
      <c r="T137" s="7">
        <f t="shared" si="38"/>
        <v>68.7476795316316</v>
      </c>
      <c r="U137" s="7">
        <f t="shared" si="39"/>
        <v>1555.57509826392</v>
      </c>
      <c r="V137" s="7">
        <f t="shared" si="40"/>
        <v>1555.57509826392</v>
      </c>
      <c r="W137" s="7">
        <f t="shared" si="41"/>
        <v>-210.519615627019</v>
      </c>
      <c r="X137" s="7">
        <f t="shared" si="42"/>
        <v>1569.75552074282</v>
      </c>
      <c r="Y137" s="7">
        <f t="shared" si="43"/>
        <v>715.293284439674</v>
      </c>
    </row>
    <row r="138" ht="14.25">
      <c r="A138">
        <v>22</v>
      </c>
      <c r="B138">
        <f t="shared" si="25"/>
        <v>6.6</v>
      </c>
      <c r="E138">
        <f t="shared" si="26"/>
        <v>4.29</v>
      </c>
      <c r="F138">
        <f t="shared" si="27"/>
        <v>4.29</v>
      </c>
      <c r="G138">
        <f t="shared" si="28"/>
        <v>438.76706709139</v>
      </c>
      <c r="H138">
        <f t="shared" si="29"/>
        <v>438.76706709139</v>
      </c>
      <c r="I138">
        <f t="shared" si="30"/>
        <v>-55.6096999284454</v>
      </c>
      <c r="J138">
        <f t="shared" si="31"/>
        <v>442.277037489074</v>
      </c>
      <c r="K138" s="6">
        <f t="shared" si="32"/>
        <v>52.8684</v>
      </c>
      <c r="N138" s="6">
        <f t="shared" si="33"/>
        <v>39.6</v>
      </c>
      <c r="O138" s="6">
        <f t="shared" si="34"/>
        <v>89.8767825545652</v>
      </c>
      <c r="P138" s="7">
        <f t="shared" si="35"/>
        <v>108.642367231386</v>
      </c>
      <c r="Q138" s="7"/>
      <c r="R138" s="7">
        <f t="shared" si="36"/>
        <v>413.026132236864</v>
      </c>
      <c r="S138" s="7">
        <f t="shared" si="37"/>
        <v>70.6175387004011</v>
      </c>
      <c r="T138" s="7">
        <f t="shared" si="38"/>
        <v>70.6175387004011</v>
      </c>
      <c r="U138" s="7">
        <f t="shared" si="39"/>
        <v>1584.40226763855</v>
      </c>
      <c r="V138" s="7">
        <f t="shared" si="40"/>
        <v>1584.40226763855</v>
      </c>
      <c r="W138" s="7">
        <f t="shared" si="41"/>
        <v>-198.562076577229</v>
      </c>
      <c r="X138" s="7">
        <f t="shared" si="42"/>
        <v>1596.79599321667</v>
      </c>
      <c r="Y138" s="7">
        <f t="shared" si="43"/>
        <v>702.563934846515</v>
      </c>
    </row>
    <row r="139" ht="14.25">
      <c r="A139">
        <v>21</v>
      </c>
      <c r="B139">
        <f t="shared" si="25"/>
        <v>6.3</v>
      </c>
      <c r="E139">
        <f t="shared" si="26"/>
        <v>4.095</v>
      </c>
      <c r="F139">
        <f t="shared" si="27"/>
        <v>4.095</v>
      </c>
      <c r="G139">
        <f t="shared" si="28"/>
        <v>435.532483295254</v>
      </c>
      <c r="H139">
        <f t="shared" si="29"/>
        <v>435.532483295254</v>
      </c>
      <c r="I139">
        <f t="shared" si="30"/>
        <v>-55.8046999284454</v>
      </c>
      <c r="J139">
        <f t="shared" si="31"/>
        <v>439.093052255936</v>
      </c>
      <c r="K139" s="6">
        <f t="shared" si="32"/>
        <v>52.5642</v>
      </c>
      <c r="N139" s="6">
        <f t="shared" si="33"/>
        <v>37.8</v>
      </c>
      <c r="O139" s="6">
        <f t="shared" si="34"/>
        <v>86.4198945650697</v>
      </c>
      <c r="P139" s="7">
        <f t="shared" si="35"/>
        <v>111.411856744972</v>
      </c>
      <c r="Q139" s="7"/>
      <c r="R139" s="7">
        <f t="shared" si="36"/>
        <v>410.779155043692</v>
      </c>
      <c r="S139" s="7">
        <f t="shared" si="37"/>
        <v>72.417706884232</v>
      </c>
      <c r="T139" s="7">
        <f t="shared" si="38"/>
        <v>72.417706884232</v>
      </c>
      <c r="U139" s="7">
        <f t="shared" si="39"/>
        <v>1612.01577679275</v>
      </c>
      <c r="V139" s="7">
        <f t="shared" si="40"/>
        <v>1612.01577679275</v>
      </c>
      <c r="W139" s="7">
        <f t="shared" si="41"/>
        <v>-186.408580730546</v>
      </c>
      <c r="X139" s="7">
        <f t="shared" si="42"/>
        <v>1622.75784502763</v>
      </c>
      <c r="Y139" s="7">
        <f t="shared" si="43"/>
        <v>687.67603887103</v>
      </c>
    </row>
    <row r="140" ht="14.25">
      <c r="A140">
        <v>20</v>
      </c>
      <c r="B140">
        <f t="shared" si="25"/>
        <v>6</v>
      </c>
      <c r="E140">
        <f t="shared" si="26"/>
        <v>3.9</v>
      </c>
      <c r="F140">
        <f t="shared" si="27"/>
        <v>3.9</v>
      </c>
      <c r="G140">
        <f t="shared" si="28"/>
        <v>432.297899499118</v>
      </c>
      <c r="H140">
        <f t="shared" si="29"/>
        <v>432.297899499118</v>
      </c>
      <c r="I140">
        <f t="shared" si="30"/>
        <v>-55.9996999284454</v>
      </c>
      <c r="J140">
        <f t="shared" si="31"/>
        <v>435.909899295055</v>
      </c>
      <c r="K140" s="6">
        <f t="shared" si="32"/>
        <v>52.26</v>
      </c>
      <c r="N140" s="6">
        <f t="shared" si="33"/>
        <v>36</v>
      </c>
      <c r="O140" s="6">
        <f t="shared" si="34"/>
        <v>82.8777205732387</v>
      </c>
      <c r="P140" s="7">
        <f t="shared" si="35"/>
        <v>114.071396206868</v>
      </c>
      <c r="Q140" s="7"/>
      <c r="R140" s="7">
        <f t="shared" si="36"/>
        <v>408.476741949002</v>
      </c>
      <c r="S140" s="7">
        <f t="shared" si="37"/>
        <v>74.1464075344639</v>
      </c>
      <c r="T140" s="7">
        <f t="shared" si="38"/>
        <v>74.1464075344639</v>
      </c>
      <c r="U140" s="7">
        <f t="shared" si="39"/>
        <v>1638.38837452683</v>
      </c>
      <c r="V140" s="7">
        <f t="shared" si="40"/>
        <v>1638.38837452683</v>
      </c>
      <c r="W140" s="7">
        <f t="shared" si="41"/>
        <v>-174.071122120063</v>
      </c>
      <c r="X140" s="7">
        <f t="shared" si="42"/>
        <v>1647.60954759943</v>
      </c>
      <c r="Y140" s="7">
        <f t="shared" si="43"/>
        <v>670.664730381255</v>
      </c>
    </row>
    <row r="141" ht="14.25">
      <c r="A141">
        <v>19</v>
      </c>
      <c r="B141">
        <f t="shared" si="25"/>
        <v>5.7</v>
      </c>
      <c r="E141">
        <f t="shared" si="26"/>
        <v>3.705</v>
      </c>
      <c r="F141">
        <f t="shared" si="27"/>
        <v>3.705</v>
      </c>
      <c r="G141">
        <f t="shared" si="28"/>
        <v>429.063315702982</v>
      </c>
      <c r="H141">
        <f t="shared" si="29"/>
        <v>429.063315702982</v>
      </c>
      <c r="I141">
        <f t="shared" si="30"/>
        <v>-56.1946999284454</v>
      </c>
      <c r="J141">
        <f t="shared" si="31"/>
        <v>432.727596973066</v>
      </c>
      <c r="K141" s="6">
        <f t="shared" si="32"/>
        <v>51.9558</v>
      </c>
      <c r="N141" s="6">
        <f t="shared" si="33"/>
        <v>34.2</v>
      </c>
      <c r="O141" s="6">
        <f t="shared" si="34"/>
        <v>79.2537562771504</v>
      </c>
      <c r="P141" s="7">
        <f t="shared" si="35"/>
        <v>116.618360972713</v>
      </c>
      <c r="Q141" s="7"/>
      <c r="R141" s="7">
        <f t="shared" si="36"/>
        <v>406.121165156544</v>
      </c>
      <c r="S141" s="7">
        <f t="shared" si="37"/>
        <v>75.8019346322636</v>
      </c>
      <c r="T141" s="7">
        <f t="shared" si="38"/>
        <v>75.8019346322636</v>
      </c>
      <c r="U141" s="7">
        <f t="shared" si="39"/>
        <v>1663.49403427082</v>
      </c>
      <c r="V141" s="7">
        <f t="shared" si="40"/>
        <v>1663.49403427082</v>
      </c>
      <c r="W141" s="7">
        <f t="shared" si="41"/>
        <v>-161.561876327909</v>
      </c>
      <c r="X141" s="7">
        <f t="shared" si="42"/>
        <v>1671.3212264365</v>
      </c>
      <c r="Y141" s="7">
        <f t="shared" si="43"/>
        <v>651.572940601873</v>
      </c>
    </row>
    <row r="142" ht="14.25">
      <c r="A142">
        <v>18</v>
      </c>
      <c r="B142">
        <f t="shared" si="25"/>
        <v>5.4</v>
      </c>
      <c r="E142">
        <f t="shared" si="26"/>
        <v>3.51</v>
      </c>
      <c r="F142">
        <f t="shared" si="27"/>
        <v>3.51</v>
      </c>
      <c r="G142">
        <f t="shared" si="28"/>
        <v>425.828731906846</v>
      </c>
      <c r="H142">
        <f t="shared" si="29"/>
        <v>425.828731906846</v>
      </c>
      <c r="I142">
        <f t="shared" si="30"/>
        <v>-56.3896999284454</v>
      </c>
      <c r="J142">
        <f t="shared" si="31"/>
        <v>429.546164195901</v>
      </c>
      <c r="K142" s="6">
        <f t="shared" si="32"/>
        <v>51.6516</v>
      </c>
      <c r="N142" s="6">
        <f t="shared" si="33"/>
        <v>32.4</v>
      </c>
      <c r="O142" s="6">
        <f t="shared" si="34"/>
        <v>75.5515780920385</v>
      </c>
      <c r="P142" s="7">
        <f t="shared" si="35"/>
        <v>119.050237495784</v>
      </c>
      <c r="Q142" s="7"/>
      <c r="R142" s="7">
        <f t="shared" si="36"/>
        <v>403.714749336222</v>
      </c>
      <c r="S142" s="7">
        <f t="shared" si="37"/>
        <v>77.3826543722597</v>
      </c>
      <c r="T142" s="7">
        <f t="shared" si="38"/>
        <v>77.3826543722597</v>
      </c>
      <c r="U142" s="7">
        <f t="shared" si="39"/>
        <v>1687.30797976959</v>
      </c>
      <c r="V142" s="7">
        <f t="shared" si="40"/>
        <v>1687.30797976959</v>
      </c>
      <c r="W142" s="7">
        <f t="shared" si="41"/>
        <v>-148.893188469421</v>
      </c>
      <c r="X142" s="7">
        <f t="shared" si="42"/>
        <v>1693.86463454632</v>
      </c>
      <c r="Y142" s="7">
        <f t="shared" si="43"/>
        <v>630.451252571349</v>
      </c>
    </row>
    <row r="143" ht="14.25">
      <c r="A143">
        <v>17</v>
      </c>
      <c r="B143">
        <f t="shared" si="25"/>
        <v>5.1</v>
      </c>
      <c r="E143">
        <f t="shared" si="26"/>
        <v>3.315</v>
      </c>
      <c r="F143">
        <f t="shared" si="27"/>
        <v>3.315</v>
      </c>
      <c r="G143">
        <f t="shared" si="28"/>
        <v>422.59414811071</v>
      </c>
      <c r="H143">
        <f t="shared" si="29"/>
        <v>422.59414811071</v>
      </c>
      <c r="I143">
        <f t="shared" si="30"/>
        <v>-56.5846999284454</v>
      </c>
      <c r="J143">
        <f t="shared" si="31"/>
        <v>426.365620428534</v>
      </c>
      <c r="K143" s="6">
        <f t="shared" si="32"/>
        <v>51.3474</v>
      </c>
      <c r="N143" s="6">
        <f t="shared" si="33"/>
        <v>30.6</v>
      </c>
      <c r="O143" s="6">
        <f t="shared" si="34"/>
        <v>71.7748396208024</v>
      </c>
      <c r="P143" s="7">
        <f t="shared" si="35"/>
        <v>121.364625807556</v>
      </c>
      <c r="Q143" s="7"/>
      <c r="R143" s="7">
        <f t="shared" si="36"/>
        <v>401.259869329918</v>
      </c>
      <c r="S143" s="7">
        <f t="shared" si="37"/>
        <v>78.8870067749114</v>
      </c>
      <c r="T143" s="7">
        <f t="shared" si="38"/>
        <v>78.8870067749114</v>
      </c>
      <c r="U143" s="7">
        <f t="shared" si="39"/>
        <v>1709.80670953404</v>
      </c>
      <c r="V143" s="7">
        <f t="shared" si="40"/>
        <v>1709.80670953404</v>
      </c>
      <c r="W143" s="7">
        <f t="shared" si="41"/>
        <v>-136.077561010006</v>
      </c>
      <c r="X143" s="7">
        <f t="shared" si="42"/>
        <v>1715.21313153149</v>
      </c>
      <c r="Y143" s="7">
        <f t="shared" si="43"/>
        <v>607.357725952393</v>
      </c>
    </row>
    <row r="144" ht="14.25">
      <c r="A144">
        <v>16</v>
      </c>
      <c r="B144">
        <f t="shared" si="25"/>
        <v>4.8</v>
      </c>
      <c r="E144">
        <f t="shared" si="26"/>
        <v>3.12</v>
      </c>
      <c r="F144">
        <f t="shared" si="27"/>
        <v>3.12</v>
      </c>
      <c r="G144">
        <f t="shared" si="28"/>
        <v>419.359564314573</v>
      </c>
      <c r="H144">
        <f t="shared" si="29"/>
        <v>419.359564314573</v>
      </c>
      <c r="I144">
        <f t="shared" si="30"/>
        <v>-56.7796999284454</v>
      </c>
      <c r="J144">
        <f t="shared" si="31"/>
        <v>423.185985715587</v>
      </c>
      <c r="K144" s="6">
        <f t="shared" si="32"/>
        <v>51.0432</v>
      </c>
      <c r="N144" s="6">
        <f t="shared" si="33"/>
        <v>28.8</v>
      </c>
      <c r="O144" s="6">
        <f t="shared" si="34"/>
        <v>67.9272680483419</v>
      </c>
      <c r="P144" s="7">
        <f t="shared" si="35"/>
        <v>123.559241886185</v>
      </c>
      <c r="Q144" s="7"/>
      <c r="R144" s="7">
        <f t="shared" si="36"/>
        <v>398.758947807819</v>
      </c>
      <c r="S144" s="7">
        <f t="shared" si="37"/>
        <v>80.3135072260201</v>
      </c>
      <c r="T144" s="7">
        <f t="shared" si="38"/>
        <v>80.3135072260201</v>
      </c>
      <c r="U144" s="7">
        <f t="shared" si="39"/>
        <v>1730.96802003418</v>
      </c>
      <c r="V144" s="7">
        <f t="shared" si="40"/>
        <v>1730.96802003418</v>
      </c>
      <c r="W144" s="7">
        <f t="shared" si="41"/>
        <v>-123.127641426718</v>
      </c>
      <c r="X144" s="7">
        <f t="shared" si="42"/>
        <v>1735.34166735671</v>
      </c>
      <c r="Y144" s="7">
        <f t="shared" si="43"/>
        <v>582.357692863068</v>
      </c>
    </row>
    <row r="145" ht="14.25">
      <c r="A145">
        <v>15</v>
      </c>
      <c r="B145">
        <f t="shared" si="25"/>
        <v>4.5</v>
      </c>
      <c r="E145">
        <f t="shared" si="26"/>
        <v>2.925</v>
      </c>
      <c r="F145">
        <f t="shared" si="27"/>
        <v>2.925</v>
      </c>
      <c r="G145">
        <f t="shared" si="28"/>
        <v>416.124980518437</v>
      </c>
      <c r="H145">
        <f t="shared" si="29"/>
        <v>416.124980518437</v>
      </c>
      <c r="I145">
        <f t="shared" si="30"/>
        <v>-56.9746999284454</v>
      </c>
      <c r="J145">
        <f t="shared" si="31"/>
        <v>420.007280702854</v>
      </c>
      <c r="K145" s="6">
        <f t="shared" si="32"/>
        <v>50.739</v>
      </c>
      <c r="N145" s="6">
        <f t="shared" si="33"/>
        <v>27</v>
      </c>
      <c r="O145" s="6">
        <f t="shared" si="34"/>
        <v>64.0126604632761</v>
      </c>
      <c r="P145" s="7">
        <f t="shared" si="35"/>
        <v>125.63191991056</v>
      </c>
      <c r="Q145" s="7"/>
      <c r="R145" s="7">
        <f t="shared" si="36"/>
        <v>396.214452877526</v>
      </c>
      <c r="S145" s="7">
        <f t="shared" si="37"/>
        <v>81.6607479418639</v>
      </c>
      <c r="T145" s="7">
        <f t="shared" si="38"/>
        <v>81.6607479418639</v>
      </c>
      <c r="U145" s="7">
        <f t="shared" si="39"/>
        <v>1750.77102761139</v>
      </c>
      <c r="V145" s="7">
        <f t="shared" si="40"/>
        <v>1750.77102761139</v>
      </c>
      <c r="W145" s="7">
        <f t="shared" si="41"/>
        <v>-110.056209726721</v>
      </c>
      <c r="X145" s="7">
        <f t="shared" si="42"/>
        <v>1754.22676995389</v>
      </c>
      <c r="Y145" s="7">
        <f t="shared" si="43"/>
        <v>555.523525509629</v>
      </c>
    </row>
    <row r="146" ht="14.25">
      <c r="A146">
        <v>14</v>
      </c>
      <c r="B146">
        <f t="shared" si="25"/>
        <v>4.2</v>
      </c>
      <c r="E146">
        <f t="shared" si="26"/>
        <v>2.73</v>
      </c>
      <c r="F146">
        <f t="shared" si="27"/>
        <v>2.73</v>
      </c>
      <c r="G146">
        <f t="shared" si="28"/>
        <v>412.890396722301</v>
      </c>
      <c r="H146">
        <f t="shared" si="29"/>
        <v>412.890396722301</v>
      </c>
      <c r="I146">
        <f t="shared" si="30"/>
        <v>-57.1696999284454</v>
      </c>
      <c r="J146">
        <f t="shared" si="31"/>
        <v>416.82952665977</v>
      </c>
      <c r="K146" s="6">
        <f t="shared" si="32"/>
        <v>50.4348</v>
      </c>
      <c r="N146" s="6">
        <f t="shared" si="33"/>
        <v>25.2</v>
      </c>
      <c r="O146" s="6">
        <f t="shared" si="34"/>
        <v>60.0348801106752</v>
      </c>
      <c r="P146" s="7">
        <f t="shared" si="35"/>
        <v>127.580614397709</v>
      </c>
      <c r="Q146" s="7"/>
      <c r="R146" s="7">
        <f t="shared" si="36"/>
        <v>393.628895648336</v>
      </c>
      <c r="S146" s="7">
        <f t="shared" si="37"/>
        <v>82.9273993585107</v>
      </c>
      <c r="T146" s="7">
        <f t="shared" si="38"/>
        <v>82.9273993585107</v>
      </c>
      <c r="U146" s="7">
        <f t="shared" si="39"/>
        <v>1769.19618908804</v>
      </c>
      <c r="V146" s="7">
        <f t="shared" si="40"/>
        <v>1769.19618908804</v>
      </c>
      <c r="W146" s="7">
        <f t="shared" si="41"/>
        <v>-96.8761658349713</v>
      </c>
      <c r="X146" s="7">
        <f t="shared" si="42"/>
        <v>1771.84653595917</v>
      </c>
      <c r="Y146" s="7">
        <f t="shared" si="43"/>
        <v>526.934376513032</v>
      </c>
    </row>
    <row r="147" ht="14.25">
      <c r="A147">
        <v>13</v>
      </c>
      <c r="B147">
        <f t="shared" si="25"/>
        <v>3.9</v>
      </c>
      <c r="E147">
        <f t="shared" si="26"/>
        <v>2.535</v>
      </c>
      <c r="F147">
        <f t="shared" si="27"/>
        <v>2.535</v>
      </c>
      <c r="G147">
        <f t="shared" si="28"/>
        <v>409.655812926165</v>
      </c>
      <c r="H147">
        <f t="shared" si="29"/>
        <v>409.655812926165</v>
      </c>
      <c r="I147">
        <f t="shared" si="30"/>
        <v>-57.3646999284454</v>
      </c>
      <c r="J147">
        <f t="shared" si="31"/>
        <v>413.652745502889</v>
      </c>
      <c r="K147" s="6">
        <f t="shared" si="32"/>
        <v>50.1306</v>
      </c>
      <c r="N147" s="6">
        <f t="shared" si="33"/>
        <v>23.4</v>
      </c>
      <c r="O147" s="6">
        <f t="shared" si="34"/>
        <v>55.9978525795041</v>
      </c>
      <c r="P147" s="7">
        <f t="shared" si="35"/>
        <v>129.403402221441</v>
      </c>
      <c r="Q147" s="7"/>
      <c r="R147" s="7">
        <f t="shared" si="36"/>
        <v>391.004827753074</v>
      </c>
      <c r="S147" s="7">
        <f t="shared" si="37"/>
        <v>84.1122114439369</v>
      </c>
      <c r="T147" s="7">
        <f t="shared" si="38"/>
        <v>84.1122114439369</v>
      </c>
      <c r="U147" s="7">
        <f t="shared" si="39"/>
        <v>1786.22532105424</v>
      </c>
      <c r="V147" s="7">
        <f t="shared" si="40"/>
        <v>1786.22532105424</v>
      </c>
      <c r="W147" s="7">
        <f t="shared" si="41"/>
        <v>-83.6005168635439</v>
      </c>
      <c r="X147" s="7">
        <f t="shared" si="42"/>
        <v>1788.18062398494</v>
      </c>
      <c r="Y147" s="7">
        <f t="shared" si="43"/>
        <v>496.675892928304</v>
      </c>
    </row>
    <row r="148" ht="14.25">
      <c r="A148">
        <v>12</v>
      </c>
      <c r="B148">
        <f t="shared" si="25"/>
        <v>3.6</v>
      </c>
      <c r="E148">
        <f t="shared" si="26"/>
        <v>2.34</v>
      </c>
      <c r="F148">
        <f t="shared" si="27"/>
        <v>2.34</v>
      </c>
      <c r="G148">
        <f t="shared" si="28"/>
        <v>406.421229130029</v>
      </c>
      <c r="H148">
        <f t="shared" si="29"/>
        <v>406.421229130029</v>
      </c>
      <c r="I148">
        <f t="shared" si="30"/>
        <v>-57.5596999284454</v>
      </c>
      <c r="J148">
        <f t="shared" si="31"/>
        <v>410.476959820422</v>
      </c>
      <c r="K148" s="6">
        <f t="shared" si="32"/>
        <v>49.8264</v>
      </c>
      <c r="N148" s="6">
        <f t="shared" si="33"/>
        <v>21.6</v>
      </c>
      <c r="O148" s="6">
        <f t="shared" si="34"/>
        <v>51.9055619285396</v>
      </c>
      <c r="P148" s="7">
        <f t="shared" si="35"/>
        <v>131.098484510243</v>
      </c>
      <c r="Q148" s="7"/>
      <c r="R148" s="7">
        <f t="shared" si="36"/>
        <v>388.344838829947</v>
      </c>
      <c r="S148" s="7">
        <f t="shared" si="37"/>
        <v>85.2140149316582</v>
      </c>
      <c r="T148" s="7">
        <f t="shared" si="38"/>
        <v>85.2140149316582</v>
      </c>
      <c r="U148" s="7">
        <f t="shared" si="39"/>
        <v>1801.8416178127</v>
      </c>
      <c r="V148" s="7">
        <f t="shared" si="40"/>
        <v>1801.8416178127</v>
      </c>
      <c r="W148" s="7">
        <f t="shared" si="41"/>
        <v>-70.2423642751848</v>
      </c>
      <c r="X148" s="7">
        <f t="shared" si="42"/>
        <v>1803.2102499212</v>
      </c>
      <c r="Y148" s="7">
        <f t="shared" si="43"/>
        <v>464.839905059358</v>
      </c>
    </row>
    <row r="149" ht="14.25">
      <c r="A149">
        <v>11</v>
      </c>
      <c r="B149">
        <f t="shared" si="25"/>
        <v>3.3</v>
      </c>
      <c r="E149">
        <f t="shared" si="26"/>
        <v>2.145</v>
      </c>
      <c r="F149">
        <f t="shared" si="27"/>
        <v>2.145</v>
      </c>
      <c r="G149">
        <f t="shared" si="28"/>
        <v>403.186645333893</v>
      </c>
      <c r="H149">
        <f t="shared" si="29"/>
        <v>403.186645333893</v>
      </c>
      <c r="I149">
        <f t="shared" si="30"/>
        <v>-57.7546999284454</v>
      </c>
      <c r="J149">
        <f t="shared" si="31"/>
        <v>407.302192897882</v>
      </c>
      <c r="K149" s="6">
        <f t="shared" si="32"/>
        <v>49.5222</v>
      </c>
      <c r="N149" s="6">
        <f t="shared" si="33"/>
        <v>19.8</v>
      </c>
      <c r="O149" s="6">
        <f t="shared" si="34"/>
        <v>47.7620467545861</v>
      </c>
      <c r="P149" s="7">
        <f t="shared" si="35"/>
        <v>132.664188422546</v>
      </c>
      <c r="Q149" s="7"/>
      <c r="R149" s="7">
        <f t="shared" si="36"/>
        <v>385.651553966878</v>
      </c>
      <c r="S149" s="7">
        <f t="shared" si="37"/>
        <v>86.2317224746548</v>
      </c>
      <c r="T149" s="7">
        <f t="shared" si="38"/>
        <v>86.2317224746548</v>
      </c>
      <c r="U149" s="7">
        <f t="shared" si="39"/>
        <v>1816.0296679639</v>
      </c>
      <c r="V149" s="7">
        <f t="shared" si="40"/>
        <v>1816.0296679639</v>
      </c>
      <c r="W149" s="7">
        <f t="shared" si="41"/>
        <v>-56.8148909537495</v>
      </c>
      <c r="X149" s="7">
        <f t="shared" si="42"/>
        <v>1816.91818383744</v>
      </c>
      <c r="Y149" s="7">
        <f t="shared" si="43"/>
        <v>431.524091270899</v>
      </c>
    </row>
    <row r="150" ht="14.25">
      <c r="A150">
        <v>10</v>
      </c>
      <c r="B150">
        <f t="shared" si="25"/>
        <v>3</v>
      </c>
      <c r="E150">
        <f t="shared" si="26"/>
        <v>1.95</v>
      </c>
      <c r="F150">
        <f t="shared" si="27"/>
        <v>1.95</v>
      </c>
      <c r="G150">
        <f t="shared" si="28"/>
        <v>399.952061537757</v>
      </c>
      <c r="H150">
        <f t="shared" si="29"/>
        <v>399.952061537757</v>
      </c>
      <c r="I150">
        <f t="shared" si="30"/>
        <v>-57.9496999284454</v>
      </c>
      <c r="J150">
        <f t="shared" si="31"/>
        <v>404.128468744901</v>
      </c>
      <c r="K150" s="6">
        <f t="shared" si="32"/>
        <v>49.218</v>
      </c>
      <c r="N150" s="6">
        <f t="shared" si="33"/>
        <v>18</v>
      </c>
      <c r="O150" s="6">
        <f t="shared" si="34"/>
        <v>43.5713962068676</v>
      </c>
      <c r="P150" s="7">
        <f t="shared" si="35"/>
        <v>134.098968797617</v>
      </c>
      <c r="Q150" s="7"/>
      <c r="R150" s="7">
        <f t="shared" si="36"/>
        <v>382.927631110861</v>
      </c>
      <c r="S150" s="7">
        <f t="shared" si="37"/>
        <v>87.1643297184508</v>
      </c>
      <c r="T150" s="7">
        <f t="shared" si="38"/>
        <v>87.1643297184508</v>
      </c>
      <c r="U150" s="7">
        <f t="shared" si="39"/>
        <v>1828.77546961528</v>
      </c>
      <c r="V150" s="7">
        <f t="shared" si="40"/>
        <v>1828.77546961528</v>
      </c>
      <c r="W150" s="7">
        <f t="shared" si="41"/>
        <v>-43.3313481942877</v>
      </c>
      <c r="X150" s="7">
        <f t="shared" si="42"/>
        <v>1829.28874812122</v>
      </c>
      <c r="Y150" s="7">
        <f t="shared" si="43"/>
        <v>396.831620093372</v>
      </c>
    </row>
    <row r="151" ht="14.25">
      <c r="A151">
        <v>9</v>
      </c>
      <c r="B151">
        <f t="shared" si="25"/>
        <v>2.7</v>
      </c>
      <c r="E151">
        <f t="shared" si="26"/>
        <v>1.755</v>
      </c>
      <c r="F151">
        <f t="shared" si="27"/>
        <v>1.755</v>
      </c>
      <c r="G151">
        <f t="shared" si="28"/>
        <v>396.717477741621</v>
      </c>
      <c r="H151">
        <f t="shared" si="29"/>
        <v>396.717477741621</v>
      </c>
      <c r="I151">
        <f t="shared" si="30"/>
        <v>-58.1446999284454</v>
      </c>
      <c r="J151">
        <f t="shared" si="31"/>
        <v>400.955812123284</v>
      </c>
      <c r="K151" s="6">
        <f t="shared" si="32"/>
        <v>48.9138</v>
      </c>
      <c r="N151" s="6">
        <f t="shared" si="33"/>
        <v>16.2</v>
      </c>
      <c r="O151" s="6">
        <f t="shared" si="34"/>
        <v>39.3377459515313</v>
      </c>
      <c r="P151" s="7">
        <f t="shared" si="35"/>
        <v>135.401409680449</v>
      </c>
      <c r="Q151" s="7"/>
      <c r="R151" s="7">
        <f t="shared" si="36"/>
        <v>380.175758444892</v>
      </c>
      <c r="S151" s="7">
        <f t="shared" si="37"/>
        <v>88.0109162922918</v>
      </c>
      <c r="T151" s="7">
        <f t="shared" si="38"/>
        <v>88.0109162922918</v>
      </c>
      <c r="U151" s="7">
        <f t="shared" si="39"/>
        <v>1840.06644419942</v>
      </c>
      <c r="V151" s="7">
        <f t="shared" si="40"/>
        <v>1840.06644419942</v>
      </c>
      <c r="W151" s="7">
        <f t="shared" si="41"/>
        <v>-29.8050426256153</v>
      </c>
      <c r="X151" s="7">
        <f t="shared" si="42"/>
        <v>1840.30781654446</v>
      </c>
      <c r="Y151" s="7">
        <f t="shared" si="43"/>
        <v>360.870771006173</v>
      </c>
    </row>
    <row r="152" ht="14.25">
      <c r="A152">
        <v>8</v>
      </c>
      <c r="B152">
        <f t="shared" si="25"/>
        <v>2.4</v>
      </c>
      <c r="E152">
        <f t="shared" si="26"/>
        <v>1.56</v>
      </c>
      <c r="F152">
        <f t="shared" si="27"/>
        <v>1.56</v>
      </c>
      <c r="G152">
        <f t="shared" si="28"/>
        <v>393.482893945485</v>
      </c>
      <c r="H152">
        <f t="shared" si="29"/>
        <v>393.482893945485</v>
      </c>
      <c r="I152">
        <f t="shared" si="30"/>
        <v>-58.3396999284454</v>
      </c>
      <c r="J152">
        <f t="shared" si="31"/>
        <v>397.784248576354</v>
      </c>
      <c r="K152" s="6">
        <f t="shared" si="32"/>
        <v>48.6096</v>
      </c>
      <c r="N152" s="6">
        <f t="shared" si="33"/>
        <v>14.4</v>
      </c>
      <c r="O152" s="6">
        <f t="shared" si="34"/>
        <v>35.0652740902445</v>
      </c>
      <c r="P152" s="7">
        <f t="shared" si="35"/>
        <v>136.570225719137</v>
      </c>
      <c r="Q152" s="7"/>
      <c r="R152" s="7">
        <f t="shared" si="36"/>
        <v>377.398651735056</v>
      </c>
      <c r="S152" s="7">
        <f t="shared" si="37"/>
        <v>88.770646717439</v>
      </c>
      <c r="T152" s="7">
        <f t="shared" si="38"/>
        <v>88.770646717439</v>
      </c>
      <c r="U152" s="7">
        <f t="shared" si="39"/>
        <v>1849.8914488876</v>
      </c>
      <c r="V152" s="7">
        <f t="shared" si="40"/>
        <v>1849.8914488876</v>
      </c>
      <c r="W152" s="7">
        <f t="shared" si="41"/>
        <v>-16.2493230782779</v>
      </c>
      <c r="X152" s="7">
        <f t="shared" si="42"/>
        <v>1849.96281399599</v>
      </c>
      <c r="Y152" s="7">
        <f t="shared" si="43"/>
        <v>323.754535368147</v>
      </c>
    </row>
    <row r="153" ht="14.25">
      <c r="A153">
        <v>7</v>
      </c>
      <c r="B153">
        <f t="shared" si="25"/>
        <v>2.1</v>
      </c>
      <c r="E153">
        <f t="shared" si="26"/>
        <v>1.365</v>
      </c>
      <c r="F153">
        <f t="shared" si="27"/>
        <v>1.365</v>
      </c>
      <c r="G153">
        <f t="shared" si="28"/>
        <v>390.248310149349</v>
      </c>
      <c r="H153">
        <f t="shared" si="29"/>
        <v>390.248310149349</v>
      </c>
      <c r="I153">
        <f t="shared" si="30"/>
        <v>-58.5346999284454</v>
      </c>
      <c r="J153">
        <f t="shared" si="31"/>
        <v>394.613804459671</v>
      </c>
      <c r="K153" s="6">
        <f t="shared" si="32"/>
        <v>48.3054</v>
      </c>
      <c r="N153" s="6">
        <f t="shared" si="33"/>
        <v>12.6</v>
      </c>
      <c r="O153" s="6">
        <f t="shared" si="34"/>
        <v>30.7581970369125</v>
      </c>
      <c r="P153" s="7">
        <f t="shared" si="35"/>
        <v>137.604263433363</v>
      </c>
      <c r="Q153" s="7"/>
      <c r="R153" s="7">
        <f t="shared" si="36"/>
        <v>374.59905165039</v>
      </c>
      <c r="S153" s="7">
        <f t="shared" si="37"/>
        <v>89.4427712316862</v>
      </c>
      <c r="T153" s="7">
        <f t="shared" si="38"/>
        <v>89.4427712316862</v>
      </c>
      <c r="U153" s="7">
        <f t="shared" si="39"/>
        <v>1858.24078758637</v>
      </c>
      <c r="V153" s="7">
        <f t="shared" si="40"/>
        <v>1858.24078758637</v>
      </c>
      <c r="W153" s="7">
        <f t="shared" si="41"/>
        <v>-2.67756741086662</v>
      </c>
      <c r="X153" s="7">
        <f t="shared" si="42"/>
        <v>1858.24271665917</v>
      </c>
      <c r="Y153" s="7">
        <f t="shared" si="43"/>
        <v>285.600199042416</v>
      </c>
    </row>
    <row r="154" ht="14.25">
      <c r="A154">
        <v>6</v>
      </c>
      <c r="B154">
        <f t="shared" si="25"/>
        <v>1.8</v>
      </c>
      <c r="E154">
        <f t="shared" si="26"/>
        <v>1.17</v>
      </c>
      <c r="F154">
        <f t="shared" si="27"/>
        <v>1.17</v>
      </c>
      <c r="G154">
        <f t="shared" si="28"/>
        <v>387.013726353213</v>
      </c>
      <c r="H154">
        <f t="shared" si="29"/>
        <v>387.013726353213</v>
      </c>
      <c r="I154">
        <f t="shared" si="30"/>
        <v>-58.7296999284454</v>
      </c>
      <c r="J154">
        <f t="shared" si="31"/>
        <v>391.444506973191</v>
      </c>
      <c r="K154" s="6">
        <f t="shared" si="32"/>
        <v>48.0012</v>
      </c>
      <c r="N154" s="6">
        <f t="shared" si="33"/>
        <v>10.8</v>
      </c>
      <c r="O154" s="6">
        <f t="shared" si="34"/>
        <v>26.4207653565872</v>
      </c>
      <c r="P154" s="7">
        <f t="shared" si="35"/>
        <v>138.502502352745</v>
      </c>
      <c r="Q154" s="7"/>
      <c r="R154" s="7">
        <f t="shared" si="36"/>
        <v>371.779721058178</v>
      </c>
      <c r="S154" s="7">
        <f t="shared" si="37"/>
        <v>90.0266265292843</v>
      </c>
      <c r="T154" s="7">
        <f t="shared" si="38"/>
        <v>90.0266265292843</v>
      </c>
      <c r="U154" s="7">
        <f t="shared" si="39"/>
        <v>1865.10622050646</v>
      </c>
      <c r="V154" s="7">
        <f t="shared" si="40"/>
        <v>1865.10622050646</v>
      </c>
      <c r="W154" s="7">
        <f t="shared" si="41"/>
        <v>10.8968306923125</v>
      </c>
      <c r="X154" s="7">
        <f t="shared" si="42"/>
        <v>1865.1380524484</v>
      </c>
      <c r="Y154" s="7">
        <f t="shared" si="43"/>
        <v>246.528908334564</v>
      </c>
    </row>
    <row r="155" ht="14.25">
      <c r="A155">
        <v>5</v>
      </c>
      <c r="B155">
        <f t="shared" si="25"/>
        <v>1.5</v>
      </c>
      <c r="E155">
        <f t="shared" si="26"/>
        <v>0.975</v>
      </c>
      <c r="F155">
        <f t="shared" si="27"/>
        <v>0.975</v>
      </c>
      <c r="G155">
        <f t="shared" si="28"/>
        <v>383.779142557077</v>
      </c>
      <c r="H155">
        <f t="shared" si="29"/>
        <v>383.779142557077</v>
      </c>
      <c r="I155">
        <f t="shared" si="30"/>
        <v>-58.9246999284454</v>
      </c>
      <c r="J155">
        <f t="shared" si="31"/>
        <v>388.276384194948</v>
      </c>
      <c r="K155" s="6">
        <f t="shared" si="32"/>
        <v>47.697</v>
      </c>
      <c r="N155" s="6">
        <f t="shared" si="33"/>
        <v>9</v>
      </c>
      <c r="O155" s="6">
        <f t="shared" si="34"/>
        <v>22.0572595706726</v>
      </c>
      <c r="P155" s="7">
        <f t="shared" si="35"/>
        <v>139.264056023914</v>
      </c>
      <c r="Q155" s="7"/>
      <c r="R155" s="7">
        <f t="shared" si="36"/>
        <v>368.943442297334</v>
      </c>
      <c r="S155" s="7">
        <f t="shared" si="37"/>
        <v>90.5216364155444</v>
      </c>
      <c r="T155" s="7">
        <f t="shared" si="38"/>
        <v>90.5216364155444</v>
      </c>
      <c r="U155" s="7">
        <f t="shared" si="39"/>
        <v>1870.48097229446</v>
      </c>
      <c r="V155" s="7">
        <f t="shared" si="40"/>
        <v>1870.48097229446</v>
      </c>
      <c r="W155" s="7">
        <f t="shared" si="41"/>
        <v>24.4604749391886</v>
      </c>
      <c r="X155" s="7">
        <f t="shared" si="42"/>
        <v>1870.64090154948</v>
      </c>
      <c r="Y155" s="7">
        <f t="shared" si="43"/>
        <v>206.665220928786</v>
      </c>
    </row>
    <row r="156" ht="14.25">
      <c r="A156">
        <v>4</v>
      </c>
      <c r="B156">
        <f t="shared" si="25"/>
        <v>1.2</v>
      </c>
      <c r="E156">
        <f t="shared" si="26"/>
        <v>0.78</v>
      </c>
      <c r="F156">
        <f t="shared" si="27"/>
        <v>0.78</v>
      </c>
      <c r="G156">
        <f t="shared" si="28"/>
        <v>380.544558760941</v>
      </c>
      <c r="H156">
        <f t="shared" si="29"/>
        <v>380.544558760941</v>
      </c>
      <c r="I156">
        <f t="shared" si="30"/>
        <v>-59.1196999284454</v>
      </c>
      <c r="J156">
        <f t="shared" si="31"/>
        <v>385.109465116334</v>
      </c>
      <c r="K156" s="6">
        <f t="shared" si="32"/>
        <v>47.3928</v>
      </c>
      <c r="N156" s="6">
        <f t="shared" si="33"/>
        <v>7.2</v>
      </c>
      <c r="O156" s="6">
        <f t="shared" si="34"/>
        <v>17.6719859325669</v>
      </c>
      <c r="P156" s="7">
        <f t="shared" si="35"/>
        <v>139.888172885341</v>
      </c>
      <c r="Q156" s="7"/>
      <c r="R156" s="7">
        <f t="shared" si="36"/>
        <v>366.093014432565</v>
      </c>
      <c r="S156" s="7">
        <f t="shared" si="37"/>
        <v>90.9273123754719</v>
      </c>
      <c r="T156" s="7">
        <f t="shared" si="38"/>
        <v>90.9273123754719</v>
      </c>
      <c r="U156" s="7">
        <f t="shared" si="39"/>
        <v>1874.35973871924</v>
      </c>
      <c r="V156" s="7">
        <f t="shared" si="40"/>
        <v>1874.35973871924</v>
      </c>
      <c r="W156" s="7">
        <f t="shared" si="41"/>
        <v>37.9999796504486</v>
      </c>
      <c r="X156" s="7">
        <f t="shared" si="42"/>
        <v>1874.74489693534</v>
      </c>
      <c r="Y156" s="7">
        <f t="shared" si="43"/>
        <v>166.136643565576</v>
      </c>
    </row>
    <row r="157" ht="14.25">
      <c r="A157">
        <v>3</v>
      </c>
      <c r="B157">
        <f t="shared" si="25"/>
        <v>0.9</v>
      </c>
      <c r="E157">
        <f t="shared" si="26"/>
        <v>0.585</v>
      </c>
      <c r="F157">
        <f t="shared" si="27"/>
        <v>0.585</v>
      </c>
      <c r="G157">
        <f t="shared" si="28"/>
        <v>377.309974964805</v>
      </c>
      <c r="H157">
        <f t="shared" si="29"/>
        <v>377.309974964805</v>
      </c>
      <c r="I157">
        <f t="shared" si="30"/>
        <v>-59.3146999284454</v>
      </c>
      <c r="J157">
        <f t="shared" si="31"/>
        <v>381.943779679082</v>
      </c>
      <c r="K157" s="6">
        <f t="shared" si="32"/>
        <v>47.0886</v>
      </c>
      <c r="N157" s="6">
        <f t="shared" si="33"/>
        <v>5.4</v>
      </c>
      <c r="O157" s="6">
        <f t="shared" si="34"/>
        <v>13.2692721779105</v>
      </c>
      <c r="P157" s="7">
        <f t="shared" si="35"/>
        <v>140.374237009034</v>
      </c>
      <c r="Q157" s="7"/>
      <c r="R157" s="7">
        <f t="shared" si="36"/>
        <v>363.231250492038</v>
      </c>
      <c r="S157" s="7">
        <f t="shared" si="37"/>
        <v>91.2432540558723</v>
      </c>
      <c r="T157" s="7">
        <f t="shared" si="38"/>
        <v>91.2432540558723</v>
      </c>
      <c r="U157" s="7">
        <f t="shared" si="39"/>
        <v>1876.73869190665</v>
      </c>
      <c r="V157" s="7">
        <f t="shared" si="40"/>
        <v>1876.73869190665</v>
      </c>
      <c r="W157" s="7">
        <f t="shared" si="41"/>
        <v>51.5019829695868</v>
      </c>
      <c r="X157" s="7">
        <f t="shared" si="42"/>
        <v>1877.44522475338</v>
      </c>
      <c r="Y157" s="7">
        <f t="shared" si="43"/>
        <v>125.073158256677</v>
      </c>
    </row>
    <row r="158" ht="14.25">
      <c r="A158">
        <v>2</v>
      </c>
      <c r="B158">
        <f t="shared" si="25"/>
        <v>0.6</v>
      </c>
      <c r="E158">
        <f t="shared" si="26"/>
        <v>0.39</v>
      </c>
      <c r="F158">
        <f t="shared" si="27"/>
        <v>0.39</v>
      </c>
      <c r="G158">
        <f t="shared" si="28"/>
        <v>374.075391168669</v>
      </c>
      <c r="H158">
        <f t="shared" si="29"/>
        <v>374.075391168669</v>
      </c>
      <c r="I158">
        <f t="shared" si="30"/>
        <v>-59.5096999284454</v>
      </c>
      <c r="J158">
        <f t="shared" si="31"/>
        <v>378.779358814028</v>
      </c>
      <c r="K158" s="6">
        <f t="shared" si="32"/>
        <v>46.7844</v>
      </c>
      <c r="N158" s="6">
        <f t="shared" si="33"/>
        <v>3.6</v>
      </c>
      <c r="O158" s="6">
        <f t="shared" si="34"/>
        <v>8.85346325363319</v>
      </c>
      <c r="P158" s="7">
        <f t="shared" si="35"/>
        <v>140.721768708386</v>
      </c>
      <c r="Q158" s="7"/>
      <c r="R158" s="7">
        <f t="shared" si="36"/>
        <v>360.360974691258</v>
      </c>
      <c r="S158" s="7">
        <f t="shared" si="37"/>
        <v>91.4691496604511</v>
      </c>
      <c r="T158" s="7">
        <f t="shared" si="38"/>
        <v>91.4691496604511</v>
      </c>
      <c r="U158" s="7">
        <f t="shared" si="39"/>
        <v>1877.6154841171</v>
      </c>
      <c r="V158" s="7">
        <f t="shared" si="40"/>
        <v>1877.6154841171</v>
      </c>
      <c r="W158" s="7">
        <f t="shared" si="41"/>
        <v>64.9531600494438</v>
      </c>
      <c r="X158" s="7">
        <f t="shared" si="42"/>
        <v>1878.73862450227</v>
      </c>
      <c r="Y158" s="7">
        <f t="shared" si="43"/>
        <v>83.6067388780588</v>
      </c>
    </row>
    <row r="159" ht="14.25">
      <c r="A159">
        <v>1</v>
      </c>
      <c r="B159">
        <f t="shared" si="25"/>
        <v>0.3</v>
      </c>
      <c r="E159">
        <f t="shared" si="26"/>
        <v>0.195</v>
      </c>
      <c r="F159">
        <f t="shared" si="27"/>
        <v>0.195</v>
      </c>
      <c r="G159">
        <f t="shared" si="28"/>
        <v>370.840807372533</v>
      </c>
      <c r="H159">
        <f t="shared" si="29"/>
        <v>370.840807372533</v>
      </c>
      <c r="I159">
        <f t="shared" si="30"/>
        <v>-59.7046999284454</v>
      </c>
      <c r="J159">
        <f t="shared" si="31"/>
        <v>375.616234481761</v>
      </c>
      <c r="K159" s="6">
        <f t="shared" si="32"/>
        <v>46.4802</v>
      </c>
      <c r="N159" s="6">
        <f t="shared" si="33"/>
        <v>1.8</v>
      </c>
      <c r="O159" s="6">
        <f t="shared" si="34"/>
        <v>4.42891703001609</v>
      </c>
      <c r="P159" s="7">
        <f t="shared" si="35"/>
        <v>140.930425011568</v>
      </c>
      <c r="Q159" s="7"/>
      <c r="R159" s="7">
        <f t="shared" si="36"/>
        <v>357.485019645907</v>
      </c>
      <c r="S159" s="7">
        <f t="shared" si="37"/>
        <v>91.6047762575193</v>
      </c>
      <c r="T159" s="7">
        <f t="shared" si="38"/>
        <v>91.6047762575193</v>
      </c>
      <c r="U159" s="7">
        <f t="shared" si="39"/>
        <v>1876.98925006252</v>
      </c>
      <c r="V159" s="7">
        <f t="shared" si="40"/>
        <v>1876.98925006252</v>
      </c>
      <c r="W159" s="7">
        <f t="shared" si="41"/>
        <v>78.340236202222</v>
      </c>
      <c r="X159" s="7">
        <f t="shared" si="42"/>
        <v>1878.6233889363</v>
      </c>
      <c r="Y159" s="7">
        <f t="shared" si="43"/>
        <v>41.8708600195249</v>
      </c>
    </row>
    <row r="160" ht="14.25">
      <c r="A160">
        <v>0</v>
      </c>
      <c r="B160">
        <f t="shared" si="25"/>
        <v>0</v>
      </c>
      <c r="E160">
        <f t="shared" si="26"/>
        <v>0</v>
      </c>
      <c r="F160">
        <f t="shared" si="27"/>
        <v>0</v>
      </c>
      <c r="G160">
        <f t="shared" si="28"/>
        <v>367.606223576397</v>
      </c>
      <c r="H160">
        <f t="shared" si="29"/>
        <v>367.606223576397</v>
      </c>
      <c r="I160">
        <f t="shared" si="30"/>
        <v>-59.8996999284454</v>
      </c>
      <c r="J160">
        <f t="shared" si="31"/>
        <v>372.454439715272</v>
      </c>
      <c r="K160" s="6">
        <f t="shared" si="32"/>
        <v>46.176</v>
      </c>
      <c r="N160" s="6">
        <f t="shared" si="33"/>
        <v>0</v>
      </c>
      <c r="O160" s="6">
        <f t="shared" si="34"/>
        <v>0</v>
      </c>
      <c r="P160" s="7">
        <f t="shared" si="35"/>
        <v>141</v>
      </c>
      <c r="Q160" s="7"/>
      <c r="R160" s="7">
        <f t="shared" si="36"/>
        <v>354.606223576397</v>
      </c>
      <c r="S160" s="7">
        <f t="shared" si="37"/>
        <v>91.65</v>
      </c>
      <c r="T160" s="7">
        <f t="shared" si="38"/>
        <v>91.65</v>
      </c>
      <c r="U160" s="7">
        <f t="shared" si="39"/>
        <v>1874.86060776034</v>
      </c>
      <c r="V160" s="7">
        <f t="shared" si="40"/>
        <v>1874.86060776034</v>
      </c>
      <c r="W160" s="7">
        <f t="shared" si="41"/>
        <v>91.65</v>
      </c>
      <c r="X160" s="7">
        <f t="shared" si="42"/>
        <v>1877.09936365433</v>
      </c>
      <c r="Y160" s="7">
        <f t="shared" si="43"/>
        <v>0</v>
      </c>
    </row>
    <row r="161" ht="14.25">
      <c r="A161">
        <v>-1</v>
      </c>
      <c r="B161">
        <f t="shared" si="25"/>
        <v>-0.3</v>
      </c>
      <c r="E161">
        <f t="shared" si="26"/>
        <v>-0.195</v>
      </c>
      <c r="F161">
        <f t="shared" si="27"/>
        <v>-0.195</v>
      </c>
      <c r="G161">
        <f t="shared" si="28"/>
        <v>364.371639780261</v>
      </c>
      <c r="H161">
        <f t="shared" si="29"/>
        <v>364.371639780261</v>
      </c>
      <c r="I161">
        <f t="shared" si="30"/>
        <v>-60.0946999284454</v>
      </c>
      <c r="J161">
        <f t="shared" si="31"/>
        <v>369.294008664703</v>
      </c>
      <c r="K161" s="6">
        <f t="shared" si="32"/>
        <v>45.8718</v>
      </c>
      <c r="N161" s="6">
        <f t="shared" si="33"/>
        <v>-1.8</v>
      </c>
      <c r="O161" s="6">
        <f t="shared" si="34"/>
        <v>-4.42891703001609</v>
      </c>
      <c r="P161" s="7">
        <f t="shared" si="35"/>
        <v>140.930425011568</v>
      </c>
      <c r="Q161" s="7"/>
      <c r="R161" s="7">
        <f t="shared" si="36"/>
        <v>351.727427506886</v>
      </c>
      <c r="S161" s="7">
        <f t="shared" si="37"/>
        <v>91.6047762575193</v>
      </c>
      <c r="T161" s="7">
        <f t="shared" si="38"/>
        <v>91.6047762575193</v>
      </c>
      <c r="U161" s="7">
        <f t="shared" si="39"/>
        <v>1871.2316579235</v>
      </c>
      <c r="V161" s="7">
        <f t="shared" si="40"/>
        <v>1871.2316579235</v>
      </c>
      <c r="W161" s="7">
        <f t="shared" si="41"/>
        <v>104.869316312817</v>
      </c>
      <c r="X161" s="7">
        <f t="shared" si="42"/>
        <v>1874.16794634821</v>
      </c>
      <c r="Y161" s="7">
        <f t="shared" si="43"/>
        <v>-41.8708600195249</v>
      </c>
    </row>
    <row r="162" ht="14.25">
      <c r="A162">
        <v>-2</v>
      </c>
      <c r="B162">
        <f t="shared" si="25"/>
        <v>-0.6</v>
      </c>
      <c r="E162">
        <f t="shared" si="26"/>
        <v>-0.39</v>
      </c>
      <c r="F162">
        <f t="shared" si="27"/>
        <v>-0.39</v>
      </c>
      <c r="G162">
        <f t="shared" si="28"/>
        <v>361.137055984125</v>
      </c>
      <c r="H162">
        <f t="shared" si="29"/>
        <v>361.137055984125</v>
      </c>
      <c r="I162">
        <f t="shared" si="30"/>
        <v>-60.2896999284454</v>
      </c>
      <c r="J162">
        <f t="shared" si="31"/>
        <v>366.134976644328</v>
      </c>
      <c r="K162" s="6">
        <f t="shared" si="32"/>
        <v>45.5676</v>
      </c>
      <c r="N162" s="6">
        <f t="shared" si="33"/>
        <v>-3.6</v>
      </c>
      <c r="O162" s="6">
        <f t="shared" si="34"/>
        <v>-8.85346325363319</v>
      </c>
      <c r="P162" s="7">
        <f t="shared" si="35"/>
        <v>140.721768708386</v>
      </c>
      <c r="Q162" s="7"/>
      <c r="R162" s="7">
        <f t="shared" si="36"/>
        <v>348.851472461535</v>
      </c>
      <c r="S162" s="7">
        <f t="shared" si="37"/>
        <v>91.4691496604511</v>
      </c>
      <c r="T162" s="7">
        <f t="shared" si="38"/>
        <v>91.4691496604511</v>
      </c>
      <c r="U162" s="7">
        <f t="shared" si="39"/>
        <v>1866.10598188737</v>
      </c>
      <c r="V162" s="7">
        <f t="shared" si="40"/>
        <v>1866.10598188737</v>
      </c>
      <c r="W162" s="7">
        <f t="shared" si="41"/>
        <v>117.985139271458</v>
      </c>
      <c r="X162" s="7">
        <f t="shared" si="42"/>
        <v>1869.83208570308</v>
      </c>
      <c r="Y162" s="7">
        <f t="shared" si="43"/>
        <v>-83.6067388780588</v>
      </c>
    </row>
    <row r="163" ht="14.25">
      <c r="A163">
        <v>-3</v>
      </c>
      <c r="B163">
        <f t="shared" si="25"/>
        <v>-0.9</v>
      </c>
      <c r="E163">
        <f t="shared" si="26"/>
        <v>-0.585</v>
      </c>
      <c r="F163">
        <f t="shared" si="27"/>
        <v>-0.585</v>
      </c>
      <c r="G163">
        <f t="shared" si="28"/>
        <v>357.902472187989</v>
      </c>
      <c r="H163">
        <f t="shared" si="29"/>
        <v>357.902472187989</v>
      </c>
      <c r="I163">
        <f t="shared" si="30"/>
        <v>-60.4846999284454</v>
      </c>
      <c r="J163">
        <f t="shared" si="31"/>
        <v>362.977380181889</v>
      </c>
      <c r="K163" s="6">
        <f t="shared" si="32"/>
        <v>45.2634</v>
      </c>
      <c r="N163" s="6">
        <f t="shared" si="33"/>
        <v>-5.4</v>
      </c>
      <c r="O163" s="6">
        <f t="shared" si="34"/>
        <v>-13.2692721779105</v>
      </c>
      <c r="P163" s="7">
        <f t="shared" si="35"/>
        <v>140.374237009034</v>
      </c>
      <c r="Q163" s="7"/>
      <c r="R163" s="7">
        <f t="shared" si="36"/>
        <v>345.981196660755</v>
      </c>
      <c r="S163" s="7">
        <f t="shared" si="37"/>
        <v>91.2432540558723</v>
      </c>
      <c r="T163" s="7">
        <f t="shared" si="38"/>
        <v>91.2432540558723</v>
      </c>
      <c r="U163" s="7">
        <f t="shared" si="39"/>
        <v>1859.48863807537</v>
      </c>
      <c r="V163" s="7">
        <f t="shared" si="40"/>
        <v>1859.48863807537</v>
      </c>
      <c r="W163" s="7">
        <f t="shared" si="41"/>
        <v>130.984525142158</v>
      </c>
      <c r="X163" s="7">
        <f t="shared" si="42"/>
        <v>1864.0962799593</v>
      </c>
      <c r="Y163" s="7">
        <f t="shared" si="43"/>
        <v>-125.073158256677</v>
      </c>
    </row>
    <row r="164" ht="14.25">
      <c r="A164">
        <v>-4</v>
      </c>
      <c r="B164">
        <f t="shared" ref="B164:B227" si="44">$B$27*A164/100</f>
        <v>-1.2</v>
      </c>
      <c r="E164">
        <f t="shared" ref="E164:E227" si="45">B164*$B$7</f>
        <v>-0.78</v>
      </c>
      <c r="F164">
        <f t="shared" ref="F164:F227" si="46">E164</f>
        <v>-0.78</v>
      </c>
      <c r="G164">
        <f t="shared" ref="G164:G227" si="47">$D$60+B164*$B$8*$B$14</f>
        <v>354.667888391852</v>
      </c>
      <c r="H164">
        <f t="shared" ref="H164:H227" si="48">G164</f>
        <v>354.667888391852</v>
      </c>
      <c r="I164">
        <f t="shared" ref="I164:I227" si="49">E164-$B$26*$B$14*$B$9</f>
        <v>-60.6796999284454</v>
      </c>
      <c r="J164">
        <f t="shared" ref="J164:J227" si="50">SQRT(I164*I164+H164*H164)</f>
        <v>359.821257070426</v>
      </c>
      <c r="K164" s="6">
        <f t="shared" ref="K164:K227" si="51">1.5*$B$13*($B$26*$B$6+$B$26*B164*($B$8-$B$9))</f>
        <v>44.9592</v>
      </c>
      <c r="N164" s="6">
        <f t="shared" ref="N164:N227" si="52">180*A164/100</f>
        <v>-7.2</v>
      </c>
      <c r="O164" s="6">
        <f t="shared" ref="O164:O227" si="53">$B$31*SIN(N164/180*PI())</f>
        <v>-17.6719859325669</v>
      </c>
      <c r="P164" s="7">
        <f t="shared" ref="P164:P227" si="54">$B$31*COS(N164/180*PI())</f>
        <v>139.888172885341</v>
      </c>
      <c r="Q164" s="7"/>
      <c r="R164" s="7">
        <f t="shared" ref="R164:R227" si="55">$Q$60+O164*$B$7</f>
        <v>343.119432720228</v>
      </c>
      <c r="S164" s="7">
        <f t="shared" ref="S164:S227" si="56">P164*$B$7</f>
        <v>90.9273123754719</v>
      </c>
      <c r="T164" s="7">
        <f t="shared" ref="T164:T227" si="57">S164</f>
        <v>90.9273123754719</v>
      </c>
      <c r="U164" s="7">
        <f t="shared" ref="U164:U227" si="58">R164+P164*$B$8*$B$14</f>
        <v>1851.38615700691</v>
      </c>
      <c r="V164" s="7">
        <f t="shared" ref="V164:V227" si="59">U164</f>
        <v>1851.38615700691</v>
      </c>
      <c r="W164" s="7">
        <f t="shared" ref="W164:W227" si="60">S164-O164*$B$14*$B$9</f>
        <v>143.854645100495</v>
      </c>
      <c r="X164" s="7">
        <f t="shared" ref="X164:X227" si="61">SQRT(W164*W164+V164*V164)</f>
        <v>1856.96657516332</v>
      </c>
      <c r="Y164" s="7">
        <f t="shared" ref="Y164:Y227" si="62">1.5*$B$13*(O164*$B$6+O164*P164*($B$8-$B$9))</f>
        <v>-166.136643565576</v>
      </c>
    </row>
    <row r="165" ht="14.25">
      <c r="A165">
        <v>-5</v>
      </c>
      <c r="B165">
        <f t="shared" si="44"/>
        <v>-1.5</v>
      </c>
      <c r="E165">
        <f t="shared" si="45"/>
        <v>-0.975</v>
      </c>
      <c r="F165">
        <f t="shared" si="46"/>
        <v>-0.975</v>
      </c>
      <c r="G165">
        <f t="shared" si="47"/>
        <v>351.433304595716</v>
      </c>
      <c r="H165">
        <f t="shared" si="48"/>
        <v>351.433304595716</v>
      </c>
      <c r="I165">
        <f t="shared" si="49"/>
        <v>-60.8746999284454</v>
      </c>
      <c r="J165">
        <f t="shared" si="50"/>
        <v>356.66664642274</v>
      </c>
      <c r="K165" s="6">
        <f t="shared" si="51"/>
        <v>44.655</v>
      </c>
      <c r="N165" s="6">
        <f t="shared" si="52"/>
        <v>-9</v>
      </c>
      <c r="O165" s="6">
        <f t="shared" si="53"/>
        <v>-22.0572595706726</v>
      </c>
      <c r="P165" s="7">
        <f t="shared" si="54"/>
        <v>139.264056023914</v>
      </c>
      <c r="Q165" s="7"/>
      <c r="R165" s="7">
        <f t="shared" si="55"/>
        <v>340.269004855459</v>
      </c>
      <c r="S165" s="7">
        <f t="shared" si="56"/>
        <v>90.5216364155444</v>
      </c>
      <c r="T165" s="7">
        <f t="shared" si="57"/>
        <v>90.5216364155444</v>
      </c>
      <c r="U165" s="7">
        <f t="shared" si="58"/>
        <v>1841.80653485258</v>
      </c>
      <c r="V165" s="7">
        <f t="shared" si="59"/>
        <v>1841.80653485258</v>
      </c>
      <c r="W165" s="7">
        <f t="shared" si="60"/>
        <v>156.5827978919</v>
      </c>
      <c r="X165" s="7">
        <f t="shared" si="61"/>
        <v>1848.45056315319</v>
      </c>
      <c r="Y165" s="7">
        <f t="shared" si="62"/>
        <v>-206.665220928786</v>
      </c>
    </row>
    <row r="166" ht="14.25">
      <c r="A166">
        <v>-6</v>
      </c>
      <c r="B166">
        <f t="shared" si="44"/>
        <v>-1.8</v>
      </c>
      <c r="E166">
        <f t="shared" si="45"/>
        <v>-1.17</v>
      </c>
      <c r="F166">
        <f t="shared" si="46"/>
        <v>-1.17</v>
      </c>
      <c r="G166">
        <f t="shared" si="47"/>
        <v>348.19872079958</v>
      </c>
      <c r="H166">
        <f t="shared" si="48"/>
        <v>348.19872079958</v>
      </c>
      <c r="I166">
        <f t="shared" si="49"/>
        <v>-61.0696999284454</v>
      </c>
      <c r="J166">
        <f t="shared" si="50"/>
        <v>353.513588728658</v>
      </c>
      <c r="K166" s="6">
        <f t="shared" si="51"/>
        <v>44.3508</v>
      </c>
      <c r="N166" s="6">
        <f t="shared" si="52"/>
        <v>-10.8</v>
      </c>
      <c r="O166" s="6">
        <f t="shared" si="53"/>
        <v>-26.4207653565872</v>
      </c>
      <c r="P166" s="7">
        <f t="shared" si="54"/>
        <v>138.502502352745</v>
      </c>
      <c r="Q166" s="7"/>
      <c r="R166" s="7">
        <f t="shared" si="55"/>
        <v>337.432726094615</v>
      </c>
      <c r="S166" s="7">
        <f t="shared" si="56"/>
        <v>90.0266265292843</v>
      </c>
      <c r="T166" s="7">
        <f t="shared" si="57"/>
        <v>90.0266265292843</v>
      </c>
      <c r="U166" s="7">
        <f t="shared" si="58"/>
        <v>1830.7592255429</v>
      </c>
      <c r="V166" s="7">
        <f t="shared" si="59"/>
        <v>1830.7592255429</v>
      </c>
      <c r="W166" s="7">
        <f t="shared" si="60"/>
        <v>169.156422366256</v>
      </c>
      <c r="X166" s="7">
        <f t="shared" si="61"/>
        <v>1838.55737934343</v>
      </c>
      <c r="Y166" s="7">
        <f t="shared" si="62"/>
        <v>-246.528908334564</v>
      </c>
    </row>
    <row r="167" ht="14.25">
      <c r="A167">
        <v>-7</v>
      </c>
      <c r="B167">
        <f t="shared" si="44"/>
        <v>-2.1</v>
      </c>
      <c r="E167">
        <f t="shared" si="45"/>
        <v>-1.365</v>
      </c>
      <c r="F167">
        <f t="shared" si="46"/>
        <v>-1.365</v>
      </c>
      <c r="G167">
        <f t="shared" si="47"/>
        <v>344.964137003444</v>
      </c>
      <c r="H167">
        <f t="shared" si="48"/>
        <v>344.964137003444</v>
      </c>
      <c r="I167">
        <f t="shared" si="49"/>
        <v>-61.2646999284454</v>
      </c>
      <c r="J167">
        <f t="shared" si="50"/>
        <v>350.36212591525</v>
      </c>
      <c r="K167" s="6">
        <f t="shared" si="51"/>
        <v>44.0466</v>
      </c>
      <c r="N167" s="6">
        <f t="shared" si="52"/>
        <v>-12.6</v>
      </c>
      <c r="O167" s="6">
        <f t="shared" si="53"/>
        <v>-30.7581970369125</v>
      </c>
      <c r="P167" s="7">
        <f t="shared" si="54"/>
        <v>137.604263433363</v>
      </c>
      <c r="Q167" s="7"/>
      <c r="R167" s="7">
        <f t="shared" si="55"/>
        <v>334.613395502404</v>
      </c>
      <c r="S167" s="7">
        <f t="shared" si="56"/>
        <v>89.4427712316862</v>
      </c>
      <c r="T167" s="7">
        <f t="shared" si="57"/>
        <v>89.4427712316862</v>
      </c>
      <c r="U167" s="7">
        <f t="shared" si="58"/>
        <v>1818.25513143838</v>
      </c>
      <c r="V167" s="7">
        <f t="shared" si="59"/>
        <v>1818.25513143838</v>
      </c>
      <c r="W167" s="7">
        <f t="shared" si="60"/>
        <v>181.563109874239</v>
      </c>
      <c r="X167" s="7">
        <f t="shared" si="61"/>
        <v>1827.2977003951</v>
      </c>
      <c r="Y167" s="7">
        <f t="shared" si="62"/>
        <v>-285.600199042416</v>
      </c>
    </row>
    <row r="168" ht="14.25">
      <c r="A168">
        <v>-8</v>
      </c>
      <c r="B168">
        <f t="shared" si="44"/>
        <v>-2.4</v>
      </c>
      <c r="E168">
        <f t="shared" si="45"/>
        <v>-1.56</v>
      </c>
      <c r="F168">
        <f t="shared" si="46"/>
        <v>-1.56</v>
      </c>
      <c r="G168">
        <f t="shared" si="47"/>
        <v>341.729553207308</v>
      </c>
      <c r="H168">
        <f t="shared" si="48"/>
        <v>341.729553207308</v>
      </c>
      <c r="I168">
        <f t="shared" si="49"/>
        <v>-61.4596999284454</v>
      </c>
      <c r="J168">
        <f t="shared" si="50"/>
        <v>347.212301410191</v>
      </c>
      <c r="K168" s="6">
        <f t="shared" si="51"/>
        <v>43.7424</v>
      </c>
      <c r="N168" s="6">
        <f t="shared" si="52"/>
        <v>-14.4</v>
      </c>
      <c r="O168" s="6">
        <f t="shared" si="53"/>
        <v>-35.0652740902445</v>
      </c>
      <c r="P168" s="7">
        <f t="shared" si="54"/>
        <v>136.570225719137</v>
      </c>
      <c r="Q168" s="7"/>
      <c r="R168" s="7">
        <f t="shared" si="55"/>
        <v>331.813795417738</v>
      </c>
      <c r="S168" s="7">
        <f t="shared" si="56"/>
        <v>88.770646717439</v>
      </c>
      <c r="T168" s="7">
        <f t="shared" si="57"/>
        <v>88.770646717439</v>
      </c>
      <c r="U168" s="7">
        <f t="shared" si="58"/>
        <v>1804.30659257028</v>
      </c>
      <c r="V168" s="7">
        <f t="shared" si="59"/>
        <v>1804.30659257028</v>
      </c>
      <c r="W168" s="7">
        <f t="shared" si="60"/>
        <v>193.790616513156</v>
      </c>
      <c r="X168" s="7">
        <f t="shared" si="61"/>
        <v>1814.68374187932</v>
      </c>
      <c r="Y168" s="7">
        <f t="shared" si="62"/>
        <v>-323.754535368147</v>
      </c>
    </row>
    <row r="169" ht="14.25">
      <c r="A169">
        <v>-9</v>
      </c>
      <c r="B169">
        <f t="shared" si="44"/>
        <v>-2.7</v>
      </c>
      <c r="E169">
        <f t="shared" si="45"/>
        <v>-1.755</v>
      </c>
      <c r="F169">
        <f t="shared" si="46"/>
        <v>-1.755</v>
      </c>
      <c r="G169">
        <f t="shared" si="47"/>
        <v>338.494969411172</v>
      </c>
      <c r="H169">
        <f t="shared" si="48"/>
        <v>338.494969411172</v>
      </c>
      <c r="I169">
        <f t="shared" si="49"/>
        <v>-61.6546999284454</v>
      </c>
      <c r="J169">
        <f t="shared" si="50"/>
        <v>344.064160208437</v>
      </c>
      <c r="K169" s="6">
        <f t="shared" si="51"/>
        <v>43.4382</v>
      </c>
      <c r="N169" s="6">
        <f t="shared" si="52"/>
        <v>-16.2</v>
      </c>
      <c r="O169" s="6">
        <f t="shared" si="53"/>
        <v>-39.3377459515313</v>
      </c>
      <c r="P169" s="7">
        <f t="shared" si="54"/>
        <v>135.401409680449</v>
      </c>
      <c r="Q169" s="7"/>
      <c r="R169" s="7">
        <f t="shared" si="55"/>
        <v>329.036688707901</v>
      </c>
      <c r="S169" s="7">
        <f t="shared" si="56"/>
        <v>88.0109162922918</v>
      </c>
      <c r="T169" s="7">
        <f t="shared" si="57"/>
        <v>88.0109162922918</v>
      </c>
      <c r="U169" s="7">
        <f t="shared" si="58"/>
        <v>1788.92737446243</v>
      </c>
      <c r="V169" s="7">
        <f t="shared" si="59"/>
        <v>1788.92737446243</v>
      </c>
      <c r="W169" s="7">
        <f t="shared" si="60"/>
        <v>205.826875210199</v>
      </c>
      <c r="X169" s="7">
        <f t="shared" si="61"/>
        <v>1800.72925606818</v>
      </c>
      <c r="Y169" s="7">
        <f t="shared" si="62"/>
        <v>-360.870771006173</v>
      </c>
    </row>
    <row r="170" ht="14.25">
      <c r="A170">
        <v>-10</v>
      </c>
      <c r="B170">
        <f t="shared" si="44"/>
        <v>-3</v>
      </c>
      <c r="E170">
        <f t="shared" si="45"/>
        <v>-1.95</v>
      </c>
      <c r="F170">
        <f t="shared" si="46"/>
        <v>-1.95</v>
      </c>
      <c r="G170">
        <f t="shared" si="47"/>
        <v>335.260385615036</v>
      </c>
      <c r="H170">
        <f t="shared" si="48"/>
        <v>335.260385615036</v>
      </c>
      <c r="I170">
        <f t="shared" si="49"/>
        <v>-61.8496999284454</v>
      </c>
      <c r="J170">
        <f t="shared" si="50"/>
        <v>340.917748942441</v>
      </c>
      <c r="K170" s="6">
        <f t="shared" si="51"/>
        <v>43.134</v>
      </c>
      <c r="N170" s="6">
        <f t="shared" si="52"/>
        <v>-18</v>
      </c>
      <c r="O170" s="6">
        <f t="shared" si="53"/>
        <v>-43.5713962068676</v>
      </c>
      <c r="P170" s="7">
        <f t="shared" si="54"/>
        <v>134.098968797617</v>
      </c>
      <c r="Q170" s="7"/>
      <c r="R170" s="7">
        <f t="shared" si="55"/>
        <v>326.284816041933</v>
      </c>
      <c r="S170" s="7">
        <f t="shared" si="56"/>
        <v>87.1643297184508</v>
      </c>
      <c r="T170" s="7">
        <f t="shared" si="57"/>
        <v>87.1643297184508</v>
      </c>
      <c r="U170" s="7">
        <f t="shared" si="58"/>
        <v>1772.13265454635</v>
      </c>
      <c r="V170" s="7">
        <f t="shared" si="59"/>
        <v>1772.13265454635</v>
      </c>
      <c r="W170" s="7">
        <f t="shared" si="60"/>
        <v>217.660007631189</v>
      </c>
      <c r="X170" s="7">
        <f t="shared" si="61"/>
        <v>1785.4495300152</v>
      </c>
      <c r="Y170" s="7">
        <f t="shared" si="62"/>
        <v>-396.831620093372</v>
      </c>
    </row>
    <row r="171" ht="14.25">
      <c r="A171">
        <v>-11</v>
      </c>
      <c r="B171">
        <f t="shared" si="44"/>
        <v>-3.3</v>
      </c>
      <c r="E171">
        <f t="shared" si="45"/>
        <v>-2.145</v>
      </c>
      <c r="F171">
        <f t="shared" si="46"/>
        <v>-2.145</v>
      </c>
      <c r="G171">
        <f t="shared" si="47"/>
        <v>332.0258018189</v>
      </c>
      <c r="H171">
        <f t="shared" si="48"/>
        <v>332.0258018189</v>
      </c>
      <c r="I171">
        <f t="shared" si="49"/>
        <v>-62.0446999284454</v>
      </c>
      <c r="J171">
        <f t="shared" si="50"/>
        <v>337.773115956102</v>
      </c>
      <c r="K171" s="6">
        <f t="shared" si="51"/>
        <v>42.8298</v>
      </c>
      <c r="N171" s="6">
        <f t="shared" si="52"/>
        <v>-19.8</v>
      </c>
      <c r="O171" s="6">
        <f t="shared" si="53"/>
        <v>-47.7620467545861</v>
      </c>
      <c r="P171" s="7">
        <f t="shared" si="54"/>
        <v>132.664188422546</v>
      </c>
      <c r="Q171" s="7"/>
      <c r="R171" s="7">
        <f t="shared" si="55"/>
        <v>323.560893185916</v>
      </c>
      <c r="S171" s="7">
        <f t="shared" si="56"/>
        <v>86.2317224746548</v>
      </c>
      <c r="T171" s="7">
        <f t="shared" si="57"/>
        <v>86.2317224746548</v>
      </c>
      <c r="U171" s="7">
        <f t="shared" si="58"/>
        <v>1753.93900718294</v>
      </c>
      <c r="V171" s="7">
        <f t="shared" si="59"/>
        <v>1753.93900718294</v>
      </c>
      <c r="W171" s="7">
        <f t="shared" si="60"/>
        <v>229.278335903059</v>
      </c>
      <c r="X171" s="7">
        <f t="shared" si="61"/>
        <v>1768.8613841204</v>
      </c>
      <c r="Y171" s="7">
        <f t="shared" si="62"/>
        <v>-431.524091270899</v>
      </c>
    </row>
    <row r="172" ht="14.25">
      <c r="A172">
        <v>-12</v>
      </c>
      <c r="B172">
        <f t="shared" si="44"/>
        <v>-3.6</v>
      </c>
      <c r="E172">
        <f t="shared" si="45"/>
        <v>-2.34</v>
      </c>
      <c r="F172">
        <f t="shared" si="46"/>
        <v>-2.34</v>
      </c>
      <c r="G172">
        <f t="shared" si="47"/>
        <v>328.791218022764</v>
      </c>
      <c r="H172">
        <f t="shared" si="48"/>
        <v>328.791218022764</v>
      </c>
      <c r="I172">
        <f t="shared" si="49"/>
        <v>-62.2396999284454</v>
      </c>
      <c r="J172">
        <f t="shared" si="50"/>
        <v>334.630311382689</v>
      </c>
      <c r="K172" s="6">
        <f t="shared" si="51"/>
        <v>42.5256</v>
      </c>
      <c r="N172" s="6">
        <f t="shared" si="52"/>
        <v>-21.6</v>
      </c>
      <c r="O172" s="6">
        <f t="shared" si="53"/>
        <v>-51.9055619285396</v>
      </c>
      <c r="P172" s="7">
        <f t="shared" si="54"/>
        <v>131.098484510243</v>
      </c>
      <c r="Q172" s="7"/>
      <c r="R172" s="7">
        <f t="shared" si="55"/>
        <v>320.867608322846</v>
      </c>
      <c r="S172" s="7">
        <f t="shared" si="56"/>
        <v>85.2140149316582</v>
      </c>
      <c r="T172" s="7">
        <f t="shared" si="57"/>
        <v>85.2140149316582</v>
      </c>
      <c r="U172" s="7">
        <f t="shared" si="58"/>
        <v>1734.3643873056</v>
      </c>
      <c r="V172" s="7">
        <f t="shared" si="59"/>
        <v>1734.3643873056</v>
      </c>
      <c r="W172" s="7">
        <f t="shared" si="60"/>
        <v>240.670394138501</v>
      </c>
      <c r="X172" s="7">
        <f t="shared" si="61"/>
        <v>1750.9831714122</v>
      </c>
      <c r="Y172" s="7">
        <f t="shared" si="62"/>
        <v>-464.839905059358</v>
      </c>
    </row>
    <row r="173" ht="14.25">
      <c r="A173">
        <v>-13</v>
      </c>
      <c r="B173">
        <f t="shared" si="44"/>
        <v>-3.9</v>
      </c>
      <c r="E173">
        <f t="shared" si="45"/>
        <v>-2.535</v>
      </c>
      <c r="F173">
        <f t="shared" si="46"/>
        <v>-2.535</v>
      </c>
      <c r="G173">
        <f t="shared" si="47"/>
        <v>325.556634226628</v>
      </c>
      <c r="H173">
        <f t="shared" si="48"/>
        <v>325.556634226628</v>
      </c>
      <c r="I173">
        <f t="shared" si="49"/>
        <v>-62.4346999284454</v>
      </c>
      <c r="J173">
        <f t="shared" si="50"/>
        <v>331.48938722699</v>
      </c>
      <c r="K173" s="6">
        <f t="shared" si="51"/>
        <v>42.2214</v>
      </c>
      <c r="N173" s="6">
        <f t="shared" si="52"/>
        <v>-23.4</v>
      </c>
      <c r="O173" s="6">
        <f t="shared" si="53"/>
        <v>-55.9978525795041</v>
      </c>
      <c r="P173" s="7">
        <f t="shared" si="54"/>
        <v>129.403402221441</v>
      </c>
      <c r="Q173" s="7"/>
      <c r="R173" s="7">
        <f t="shared" si="55"/>
        <v>318.207619399719</v>
      </c>
      <c r="S173" s="7">
        <f t="shared" si="56"/>
        <v>84.1122114439369</v>
      </c>
      <c r="T173" s="7">
        <f t="shared" si="57"/>
        <v>84.1122114439369</v>
      </c>
      <c r="U173" s="7">
        <f t="shared" si="58"/>
        <v>1713.42811270089</v>
      </c>
      <c r="V173" s="7">
        <f t="shared" si="59"/>
        <v>1713.42811270089</v>
      </c>
      <c r="W173" s="7">
        <f t="shared" si="60"/>
        <v>251.824939751418</v>
      </c>
      <c r="X173" s="7">
        <f t="shared" si="61"/>
        <v>1731.83477782222</v>
      </c>
      <c r="Y173" s="7">
        <f t="shared" si="62"/>
        <v>-496.675892928304</v>
      </c>
    </row>
    <row r="174" ht="14.25">
      <c r="A174">
        <v>-14</v>
      </c>
      <c r="B174">
        <f t="shared" si="44"/>
        <v>-4.2</v>
      </c>
      <c r="E174">
        <f t="shared" si="45"/>
        <v>-2.73</v>
      </c>
      <c r="F174">
        <f t="shared" si="46"/>
        <v>-2.73</v>
      </c>
      <c r="G174">
        <f t="shared" si="47"/>
        <v>322.322050430492</v>
      </c>
      <c r="H174">
        <f t="shared" si="48"/>
        <v>322.322050430492</v>
      </c>
      <c r="I174">
        <f t="shared" si="49"/>
        <v>-62.6296999284454</v>
      </c>
      <c r="J174">
        <f t="shared" si="50"/>
        <v>328.350397451935</v>
      </c>
      <c r="K174" s="6">
        <f t="shared" si="51"/>
        <v>41.9172</v>
      </c>
      <c r="N174" s="6">
        <f t="shared" si="52"/>
        <v>-25.2</v>
      </c>
      <c r="O174" s="6">
        <f t="shared" si="53"/>
        <v>-60.0348801106752</v>
      </c>
      <c r="P174" s="7">
        <f t="shared" si="54"/>
        <v>127.580614397709</v>
      </c>
      <c r="Q174" s="7"/>
      <c r="R174" s="7">
        <f t="shared" si="55"/>
        <v>315.583551504458</v>
      </c>
      <c r="S174" s="7">
        <f t="shared" si="56"/>
        <v>82.9273993585107</v>
      </c>
      <c r="T174" s="7">
        <f t="shared" si="57"/>
        <v>82.9273993585107</v>
      </c>
      <c r="U174" s="7">
        <f t="shared" si="58"/>
        <v>1691.15084494416</v>
      </c>
      <c r="V174" s="7">
        <f t="shared" si="59"/>
        <v>1691.15084494416</v>
      </c>
      <c r="W174" s="7">
        <f t="shared" si="60"/>
        <v>262.730964551993</v>
      </c>
      <c r="X174" s="7">
        <f t="shared" si="61"/>
        <v>1711.43762378001</v>
      </c>
      <c r="Y174" s="7">
        <f t="shared" si="62"/>
        <v>-526.934376513032</v>
      </c>
    </row>
    <row r="175" ht="14.25">
      <c r="A175">
        <v>-15</v>
      </c>
      <c r="B175">
        <f t="shared" si="44"/>
        <v>-4.5</v>
      </c>
      <c r="E175">
        <f t="shared" si="45"/>
        <v>-2.925</v>
      </c>
      <c r="F175">
        <f t="shared" si="46"/>
        <v>-2.925</v>
      </c>
      <c r="G175">
        <f t="shared" si="47"/>
        <v>319.087466634356</v>
      </c>
      <c r="H175">
        <f t="shared" si="48"/>
        <v>319.087466634356</v>
      </c>
      <c r="I175">
        <f t="shared" si="49"/>
        <v>-62.8246999284454</v>
      </c>
      <c r="J175">
        <f t="shared" si="50"/>
        <v>325.213398069991</v>
      </c>
      <c r="K175" s="6">
        <f t="shared" si="51"/>
        <v>41.613</v>
      </c>
      <c r="N175" s="6">
        <f t="shared" si="52"/>
        <v>-27</v>
      </c>
      <c r="O175" s="6">
        <f t="shared" si="53"/>
        <v>-64.0126604632761</v>
      </c>
      <c r="P175" s="7">
        <f t="shared" si="54"/>
        <v>125.63191991056</v>
      </c>
      <c r="Q175" s="7"/>
      <c r="R175" s="7">
        <f t="shared" si="55"/>
        <v>312.997994275267</v>
      </c>
      <c r="S175" s="7">
        <f t="shared" si="56"/>
        <v>81.6607479418639</v>
      </c>
      <c r="T175" s="7">
        <f t="shared" si="57"/>
        <v>81.6607479418639</v>
      </c>
      <c r="U175" s="7">
        <f t="shared" si="58"/>
        <v>1667.55456900913</v>
      </c>
      <c r="V175" s="7">
        <f t="shared" si="59"/>
        <v>1667.55456900913</v>
      </c>
      <c r="W175" s="7">
        <f t="shared" si="60"/>
        <v>273.377705610449</v>
      </c>
      <c r="X175" s="7">
        <f t="shared" si="61"/>
        <v>1689.81466751477</v>
      </c>
      <c r="Y175" s="7">
        <f t="shared" si="62"/>
        <v>-555.523525509629</v>
      </c>
    </row>
    <row r="176" ht="14.25">
      <c r="A176">
        <v>-16</v>
      </c>
      <c r="B176">
        <f t="shared" si="44"/>
        <v>-4.8</v>
      </c>
      <c r="E176">
        <f t="shared" si="45"/>
        <v>-3.12</v>
      </c>
      <c r="F176">
        <f t="shared" si="46"/>
        <v>-3.12</v>
      </c>
      <c r="G176">
        <f t="shared" si="47"/>
        <v>315.85288283822</v>
      </c>
      <c r="H176">
        <f t="shared" si="48"/>
        <v>315.85288283822</v>
      </c>
      <c r="I176">
        <f t="shared" si="49"/>
        <v>-63.0196999284454</v>
      </c>
      <c r="J176">
        <f t="shared" si="50"/>
        <v>322.078447239621</v>
      </c>
      <c r="K176" s="6">
        <f t="shared" si="51"/>
        <v>41.3088</v>
      </c>
      <c r="N176" s="6">
        <f t="shared" si="52"/>
        <v>-28.8</v>
      </c>
      <c r="O176" s="6">
        <f t="shared" si="53"/>
        <v>-67.9272680483419</v>
      </c>
      <c r="P176" s="7">
        <f t="shared" si="54"/>
        <v>123.559241886185</v>
      </c>
      <c r="Q176" s="7"/>
      <c r="R176" s="7">
        <f t="shared" si="55"/>
        <v>310.453499344974</v>
      </c>
      <c r="S176" s="7">
        <f t="shared" si="56"/>
        <v>80.3135072260201</v>
      </c>
      <c r="T176" s="7">
        <f t="shared" si="57"/>
        <v>80.3135072260201</v>
      </c>
      <c r="U176" s="7">
        <f t="shared" si="58"/>
        <v>1642.66257157133</v>
      </c>
      <c r="V176" s="7">
        <f t="shared" si="59"/>
        <v>1642.66257157133</v>
      </c>
      <c r="W176" s="7">
        <f t="shared" si="60"/>
        <v>283.754655878758</v>
      </c>
      <c r="X176" s="7">
        <f t="shared" si="61"/>
        <v>1666.99041052257</v>
      </c>
      <c r="Y176" s="7">
        <f t="shared" si="62"/>
        <v>-582.357692863068</v>
      </c>
    </row>
    <row r="177" ht="14.25">
      <c r="A177">
        <v>-17</v>
      </c>
      <c r="B177">
        <f t="shared" si="44"/>
        <v>-5.1</v>
      </c>
      <c r="E177">
        <f t="shared" si="45"/>
        <v>-3.315</v>
      </c>
      <c r="F177">
        <f t="shared" si="46"/>
        <v>-3.315</v>
      </c>
      <c r="G177">
        <f t="shared" si="47"/>
        <v>312.618299042084</v>
      </c>
      <c r="H177">
        <f t="shared" si="48"/>
        <v>312.618299042084</v>
      </c>
      <c r="I177">
        <f t="shared" si="49"/>
        <v>-63.2146999284454</v>
      </c>
      <c r="J177">
        <f t="shared" si="50"/>
        <v>318.945605367136</v>
      </c>
      <c r="K177" s="6">
        <f t="shared" si="51"/>
        <v>41.0046</v>
      </c>
      <c r="N177" s="6">
        <f t="shared" si="52"/>
        <v>-30.6</v>
      </c>
      <c r="O177" s="6">
        <f t="shared" si="53"/>
        <v>-71.7748396208024</v>
      </c>
      <c r="P177" s="7">
        <f t="shared" si="54"/>
        <v>121.364625807556</v>
      </c>
      <c r="Q177" s="7"/>
      <c r="R177" s="7">
        <f t="shared" si="55"/>
        <v>307.952577822875</v>
      </c>
      <c r="S177" s="7">
        <f t="shared" si="56"/>
        <v>78.8870067749114</v>
      </c>
      <c r="T177" s="7">
        <f t="shared" si="57"/>
        <v>78.8870067749114</v>
      </c>
      <c r="U177" s="7">
        <f t="shared" si="58"/>
        <v>1616.49941802699</v>
      </c>
      <c r="V177" s="7">
        <f t="shared" si="59"/>
        <v>1616.49941802699</v>
      </c>
      <c r="W177" s="7">
        <f t="shared" si="60"/>
        <v>293.851574559829</v>
      </c>
      <c r="X177" s="7">
        <f t="shared" si="61"/>
        <v>1642.9909057426</v>
      </c>
      <c r="Y177" s="7">
        <f t="shared" si="62"/>
        <v>-607.357725952393</v>
      </c>
    </row>
    <row r="178" ht="14.25">
      <c r="A178">
        <v>-18</v>
      </c>
      <c r="B178">
        <f t="shared" si="44"/>
        <v>-5.4</v>
      </c>
      <c r="E178">
        <f t="shared" si="45"/>
        <v>-3.51</v>
      </c>
      <c r="F178">
        <f t="shared" si="46"/>
        <v>-3.51</v>
      </c>
      <c r="G178">
        <f t="shared" si="47"/>
        <v>309.383715245948</v>
      </c>
      <c r="H178">
        <f t="shared" si="48"/>
        <v>309.383715245948</v>
      </c>
      <c r="I178">
        <f t="shared" si="49"/>
        <v>-63.4096999284454</v>
      </c>
      <c r="J178">
        <f t="shared" si="50"/>
        <v>315.814935214282</v>
      </c>
      <c r="K178" s="6">
        <f t="shared" si="51"/>
        <v>40.7004</v>
      </c>
      <c r="N178" s="6">
        <f t="shared" si="52"/>
        <v>-32.4</v>
      </c>
      <c r="O178" s="6">
        <f t="shared" si="53"/>
        <v>-75.5515780920385</v>
      </c>
      <c r="P178" s="7">
        <f t="shared" si="54"/>
        <v>119.050237495784</v>
      </c>
      <c r="Q178" s="7"/>
      <c r="R178" s="7">
        <f t="shared" si="55"/>
        <v>305.497697816572</v>
      </c>
      <c r="S178" s="7">
        <f t="shared" si="56"/>
        <v>77.3826543722597</v>
      </c>
      <c r="T178" s="7">
        <f t="shared" si="57"/>
        <v>77.3826543722597</v>
      </c>
      <c r="U178" s="7">
        <f t="shared" si="58"/>
        <v>1589.09092824994</v>
      </c>
      <c r="V178" s="7">
        <f t="shared" si="59"/>
        <v>1589.09092824994</v>
      </c>
      <c r="W178" s="7">
        <f t="shared" si="60"/>
        <v>303.65849721394</v>
      </c>
      <c r="X178" s="7">
        <f t="shared" si="61"/>
        <v>1617.84376908789</v>
      </c>
      <c r="Y178" s="7">
        <f t="shared" si="62"/>
        <v>-630.451252571349</v>
      </c>
    </row>
    <row r="179" ht="14.25">
      <c r="A179">
        <v>-19</v>
      </c>
      <c r="B179">
        <f t="shared" si="44"/>
        <v>-5.7</v>
      </c>
      <c r="E179">
        <f t="shared" si="45"/>
        <v>-3.705</v>
      </c>
      <c r="F179">
        <f t="shared" si="46"/>
        <v>-3.705</v>
      </c>
      <c r="G179">
        <f t="shared" si="47"/>
        <v>306.149131449812</v>
      </c>
      <c r="H179">
        <f t="shared" si="48"/>
        <v>306.149131449812</v>
      </c>
      <c r="I179">
        <f t="shared" si="49"/>
        <v>-63.6046999284454</v>
      </c>
      <c r="J179">
        <f t="shared" si="50"/>
        <v>312.686502011938</v>
      </c>
      <c r="K179" s="6">
        <f t="shared" si="51"/>
        <v>40.3962</v>
      </c>
      <c r="N179" s="6">
        <f t="shared" si="52"/>
        <v>-34.2</v>
      </c>
      <c r="O179" s="6">
        <f t="shared" si="53"/>
        <v>-79.2537562771504</v>
      </c>
      <c r="P179" s="7">
        <f t="shared" si="54"/>
        <v>116.618360972713</v>
      </c>
      <c r="Q179" s="7"/>
      <c r="R179" s="7">
        <f t="shared" si="55"/>
        <v>303.091281996249</v>
      </c>
      <c r="S179" s="7">
        <f t="shared" si="56"/>
        <v>75.8019346322636</v>
      </c>
      <c r="T179" s="7">
        <f t="shared" si="57"/>
        <v>75.8019346322636</v>
      </c>
      <c r="U179" s="7">
        <f t="shared" si="58"/>
        <v>1560.46415111053</v>
      </c>
      <c r="V179" s="7">
        <f t="shared" si="59"/>
        <v>1560.46415111053</v>
      </c>
      <c r="W179" s="7">
        <f t="shared" si="60"/>
        <v>313.165745592436</v>
      </c>
      <c r="X179" s="7">
        <f t="shared" si="61"/>
        <v>1591.57819509868</v>
      </c>
      <c r="Y179" s="7">
        <f t="shared" si="62"/>
        <v>-651.572940601873</v>
      </c>
    </row>
    <row r="180" ht="14.25">
      <c r="A180">
        <v>-20</v>
      </c>
      <c r="B180">
        <f t="shared" si="44"/>
        <v>-6</v>
      </c>
      <c r="E180">
        <f t="shared" si="45"/>
        <v>-3.9</v>
      </c>
      <c r="F180">
        <f t="shared" si="46"/>
        <v>-3.9</v>
      </c>
      <c r="G180">
        <f t="shared" si="47"/>
        <v>302.914547653676</v>
      </c>
      <c r="H180">
        <f t="shared" si="48"/>
        <v>302.914547653676</v>
      </c>
      <c r="I180">
        <f t="shared" si="49"/>
        <v>-63.7996999284454</v>
      </c>
      <c r="J180">
        <f t="shared" si="50"/>
        <v>309.560373580325</v>
      </c>
      <c r="K180" s="6">
        <f t="shared" si="51"/>
        <v>40.092</v>
      </c>
      <c r="N180" s="6">
        <f t="shared" si="52"/>
        <v>-36</v>
      </c>
      <c r="O180" s="6">
        <f t="shared" si="53"/>
        <v>-82.8777205732387</v>
      </c>
      <c r="P180" s="7">
        <f t="shared" si="54"/>
        <v>114.071396206868</v>
      </c>
      <c r="Q180" s="7"/>
      <c r="R180" s="7">
        <f t="shared" si="55"/>
        <v>300.735705203791</v>
      </c>
      <c r="S180" s="7">
        <f t="shared" si="56"/>
        <v>74.1464075344639</v>
      </c>
      <c r="T180" s="7">
        <f t="shared" si="57"/>
        <v>74.1464075344639</v>
      </c>
      <c r="U180" s="7">
        <f t="shared" si="58"/>
        <v>1530.64733778162</v>
      </c>
      <c r="V180" s="7">
        <f t="shared" si="59"/>
        <v>1530.64733778162</v>
      </c>
      <c r="W180" s="7">
        <f t="shared" si="60"/>
        <v>322.363937188991</v>
      </c>
      <c r="X180" s="7">
        <f t="shared" si="61"/>
        <v>1564.22497763524</v>
      </c>
      <c r="Y180" s="7">
        <f t="shared" si="62"/>
        <v>-670.664730381255</v>
      </c>
    </row>
    <row r="181" ht="14.25">
      <c r="A181">
        <v>-21</v>
      </c>
      <c r="B181">
        <f t="shared" si="44"/>
        <v>-6.3</v>
      </c>
      <c r="E181">
        <f t="shared" si="45"/>
        <v>-4.095</v>
      </c>
      <c r="F181">
        <f t="shared" si="46"/>
        <v>-4.095</v>
      </c>
      <c r="G181">
        <f t="shared" si="47"/>
        <v>299.67996385754</v>
      </c>
      <c r="H181">
        <f t="shared" si="48"/>
        <v>299.67996385754</v>
      </c>
      <c r="I181">
        <f t="shared" si="49"/>
        <v>-63.9946999284454</v>
      </c>
      <c r="J181">
        <f t="shared" si="50"/>
        <v>306.436620456152</v>
      </c>
      <c r="K181" s="6">
        <f t="shared" si="51"/>
        <v>39.7878</v>
      </c>
      <c r="N181" s="6">
        <f t="shared" si="52"/>
        <v>-37.8</v>
      </c>
      <c r="O181" s="6">
        <f t="shared" si="53"/>
        <v>-86.4198945650697</v>
      </c>
      <c r="P181" s="7">
        <f t="shared" si="54"/>
        <v>111.411856744972</v>
      </c>
      <c r="Q181" s="7"/>
      <c r="R181" s="7">
        <f t="shared" si="55"/>
        <v>298.433292109101</v>
      </c>
      <c r="S181" s="7">
        <f t="shared" si="56"/>
        <v>72.417706884232</v>
      </c>
      <c r="T181" s="7">
        <f t="shared" si="57"/>
        <v>72.417706884232</v>
      </c>
      <c r="U181" s="7">
        <f t="shared" si="58"/>
        <v>1499.66991385816</v>
      </c>
      <c r="V181" s="7">
        <f t="shared" si="59"/>
        <v>1499.66991385816</v>
      </c>
      <c r="W181" s="7">
        <f t="shared" si="60"/>
        <v>331.24399449901</v>
      </c>
      <c r="X181" s="7">
        <f t="shared" si="61"/>
        <v>1535.81653670711</v>
      </c>
      <c r="Y181" s="7">
        <f t="shared" si="62"/>
        <v>-687.67603887103</v>
      </c>
    </row>
    <row r="182" ht="14.25">
      <c r="A182">
        <v>-22</v>
      </c>
      <c r="B182">
        <f t="shared" si="44"/>
        <v>-6.6</v>
      </c>
      <c r="E182">
        <f t="shared" si="45"/>
        <v>-4.29</v>
      </c>
      <c r="F182">
        <f t="shared" si="46"/>
        <v>-4.29</v>
      </c>
      <c r="G182">
        <f t="shared" si="47"/>
        <v>296.445380061404</v>
      </c>
      <c r="H182">
        <f t="shared" si="48"/>
        <v>296.445380061404</v>
      </c>
      <c r="I182">
        <f t="shared" si="49"/>
        <v>-64.1896999284454</v>
      </c>
      <c r="J182">
        <f t="shared" si="50"/>
        <v>303.315316027157</v>
      </c>
      <c r="K182" s="6">
        <f t="shared" si="51"/>
        <v>39.4836</v>
      </c>
      <c r="N182" s="6">
        <f t="shared" si="52"/>
        <v>-39.6</v>
      </c>
      <c r="O182" s="6">
        <f t="shared" si="53"/>
        <v>-89.8767825545652</v>
      </c>
      <c r="P182" s="7">
        <f t="shared" si="54"/>
        <v>108.642367231386</v>
      </c>
      <c r="Q182" s="7"/>
      <c r="R182" s="7">
        <f t="shared" si="55"/>
        <v>296.186314915929</v>
      </c>
      <c r="S182" s="7">
        <f t="shared" si="56"/>
        <v>70.6175387004011</v>
      </c>
      <c r="T182" s="7">
        <f t="shared" si="57"/>
        <v>70.6175387004011</v>
      </c>
      <c r="U182" s="7">
        <f t="shared" si="58"/>
        <v>1467.56245031761</v>
      </c>
      <c r="V182" s="7">
        <f t="shared" si="59"/>
        <v>1467.56245031761</v>
      </c>
      <c r="W182" s="7">
        <f t="shared" si="60"/>
        <v>339.797153978031</v>
      </c>
      <c r="X182" s="7">
        <f t="shared" si="61"/>
        <v>1506.3869527561</v>
      </c>
      <c r="Y182" s="7">
        <f t="shared" si="62"/>
        <v>-702.563934846515</v>
      </c>
    </row>
    <row r="183" ht="14.25">
      <c r="A183">
        <v>-23</v>
      </c>
      <c r="B183">
        <f t="shared" si="44"/>
        <v>-6.9</v>
      </c>
      <c r="E183">
        <f t="shared" si="45"/>
        <v>-4.485</v>
      </c>
      <c r="F183">
        <f t="shared" si="46"/>
        <v>-4.485</v>
      </c>
      <c r="G183">
        <f t="shared" si="47"/>
        <v>293.210796265268</v>
      </c>
      <c r="H183">
        <f t="shared" si="48"/>
        <v>293.210796265268</v>
      </c>
      <c r="I183">
        <f t="shared" si="49"/>
        <v>-64.3846999284454</v>
      </c>
      <c r="J183">
        <f t="shared" si="50"/>
        <v>300.19653667454</v>
      </c>
      <c r="K183" s="6">
        <f t="shared" si="51"/>
        <v>39.1794</v>
      </c>
      <c r="N183" s="6">
        <f t="shared" si="52"/>
        <v>-41.4</v>
      </c>
      <c r="O183" s="6">
        <f t="shared" si="53"/>
        <v>-93.2449730106349</v>
      </c>
      <c r="P183" s="7">
        <f t="shared" si="54"/>
        <v>105.765660817895</v>
      </c>
      <c r="Q183" s="7"/>
      <c r="R183" s="7">
        <f t="shared" si="55"/>
        <v>293.996991119484</v>
      </c>
      <c r="S183" s="7">
        <f t="shared" si="56"/>
        <v>68.7476795316316</v>
      </c>
      <c r="T183" s="7">
        <f t="shared" si="57"/>
        <v>68.7476795316316</v>
      </c>
      <c r="U183" s="7">
        <f t="shared" si="58"/>
        <v>1434.3566333501</v>
      </c>
      <c r="V183" s="7">
        <f t="shared" si="59"/>
        <v>1434.3566333501</v>
      </c>
      <c r="W183" s="7">
        <f t="shared" si="60"/>
        <v>348.014974690283</v>
      </c>
      <c r="X183" s="7">
        <f t="shared" si="61"/>
        <v>1475.9720099799</v>
      </c>
      <c r="Y183" s="7">
        <f t="shared" si="62"/>
        <v>-715.293284439674</v>
      </c>
    </row>
    <row r="184" ht="14.25">
      <c r="A184">
        <v>-24</v>
      </c>
      <c r="B184">
        <f t="shared" si="44"/>
        <v>-7.2</v>
      </c>
      <c r="E184">
        <f t="shared" si="45"/>
        <v>-4.68</v>
      </c>
      <c r="F184">
        <f t="shared" si="46"/>
        <v>-4.68</v>
      </c>
      <c r="G184">
        <f t="shared" si="47"/>
        <v>289.976212469131</v>
      </c>
      <c r="H184">
        <f t="shared" si="48"/>
        <v>289.976212469131</v>
      </c>
      <c r="I184">
        <f t="shared" si="49"/>
        <v>-64.5796999284454</v>
      </c>
      <c r="J184">
        <f t="shared" si="50"/>
        <v>297.080361923825</v>
      </c>
      <c r="K184" s="6">
        <f t="shared" si="51"/>
        <v>38.8752</v>
      </c>
      <c r="N184" s="6">
        <f t="shared" si="52"/>
        <v>-43.2</v>
      </c>
      <c r="O184" s="6">
        <f t="shared" si="53"/>
        <v>-96.5211419359451</v>
      </c>
      <c r="P184" s="7">
        <f t="shared" si="54"/>
        <v>102.784576466419</v>
      </c>
      <c r="Q184" s="7"/>
      <c r="R184" s="7">
        <f t="shared" si="55"/>
        <v>291.867481318032</v>
      </c>
      <c r="S184" s="7">
        <f t="shared" si="56"/>
        <v>66.8099747031724</v>
      </c>
      <c r="T184" s="7">
        <f t="shared" si="57"/>
        <v>66.8099747031724</v>
      </c>
      <c r="U184" s="7">
        <f t="shared" si="58"/>
        <v>1400.08523308798</v>
      </c>
      <c r="V184" s="7">
        <f t="shared" si="59"/>
        <v>1400.08523308798</v>
      </c>
      <c r="W184" s="7">
        <f t="shared" si="60"/>
        <v>355.889346638872</v>
      </c>
      <c r="X184" s="7">
        <f t="shared" si="61"/>
        <v>1444.60925061488</v>
      </c>
      <c r="Y184" s="7">
        <f t="shared" si="62"/>
        <v>-725.836866484531</v>
      </c>
    </row>
    <row r="185" ht="14.25">
      <c r="A185">
        <v>-25</v>
      </c>
      <c r="B185">
        <f t="shared" si="44"/>
        <v>-7.5</v>
      </c>
      <c r="E185">
        <f t="shared" si="45"/>
        <v>-4.875</v>
      </c>
      <c r="F185">
        <f t="shared" si="46"/>
        <v>-4.875</v>
      </c>
      <c r="G185">
        <f t="shared" si="47"/>
        <v>286.741628672995</v>
      </c>
      <c r="H185">
        <f t="shared" si="48"/>
        <v>286.741628672995</v>
      </c>
      <c r="I185">
        <f t="shared" si="49"/>
        <v>-64.7746999284454</v>
      </c>
      <c r="J185">
        <f t="shared" si="50"/>
        <v>293.966874604711</v>
      </c>
      <c r="K185" s="6">
        <f t="shared" si="51"/>
        <v>38.571</v>
      </c>
      <c r="N185" s="6">
        <f t="shared" si="52"/>
        <v>-45</v>
      </c>
      <c r="O185" s="6">
        <f t="shared" si="53"/>
        <v>-99.7020561473032</v>
      </c>
      <c r="P185" s="7">
        <f t="shared" si="54"/>
        <v>99.7020561473032</v>
      </c>
      <c r="Q185" s="7"/>
      <c r="R185" s="7">
        <f t="shared" si="55"/>
        <v>289.79988708065</v>
      </c>
      <c r="S185" s="7">
        <f t="shared" si="56"/>
        <v>64.8063364957471</v>
      </c>
      <c r="T185" s="7">
        <f t="shared" si="57"/>
        <v>64.8063364957471</v>
      </c>
      <c r="U185" s="7">
        <f t="shared" si="58"/>
        <v>1364.7820712657</v>
      </c>
      <c r="V185" s="7">
        <f t="shared" si="59"/>
        <v>1364.7820712657</v>
      </c>
      <c r="W185" s="7">
        <f t="shared" si="60"/>
        <v>363.412498769371</v>
      </c>
      <c r="X185" s="7">
        <f t="shared" si="61"/>
        <v>1412.33804250614</v>
      </c>
      <c r="Y185" s="7">
        <f t="shared" si="62"/>
        <v>-734.175457232894</v>
      </c>
    </row>
    <row r="186" ht="14.25">
      <c r="A186">
        <v>-26</v>
      </c>
      <c r="B186">
        <f t="shared" si="44"/>
        <v>-7.8</v>
      </c>
      <c r="E186">
        <f t="shared" si="45"/>
        <v>-5.07</v>
      </c>
      <c r="F186">
        <f t="shared" si="46"/>
        <v>-5.07</v>
      </c>
      <c r="G186">
        <f t="shared" si="47"/>
        <v>283.507044876859</v>
      </c>
      <c r="H186">
        <f t="shared" si="48"/>
        <v>283.507044876859</v>
      </c>
      <c r="I186">
        <f t="shared" si="49"/>
        <v>-64.9696999284454</v>
      </c>
      <c r="J186">
        <f t="shared" si="50"/>
        <v>290.856161020532</v>
      </c>
      <c r="K186" s="6">
        <f t="shared" si="51"/>
        <v>38.2668</v>
      </c>
      <c r="N186" s="6">
        <f t="shared" si="52"/>
        <v>-46.8</v>
      </c>
      <c r="O186" s="6">
        <f t="shared" si="53"/>
        <v>-102.784576466419</v>
      </c>
      <c r="P186" s="7">
        <f t="shared" si="54"/>
        <v>96.5211419359451</v>
      </c>
      <c r="Q186" s="7"/>
      <c r="R186" s="7">
        <f t="shared" si="55"/>
        <v>287.796248873224</v>
      </c>
      <c r="S186" s="7">
        <f t="shared" si="56"/>
        <v>62.7387422583643</v>
      </c>
      <c r="T186" s="7">
        <f t="shared" si="57"/>
        <v>62.7387422583643</v>
      </c>
      <c r="U186" s="7">
        <f t="shared" si="58"/>
        <v>1328.48198784174</v>
      </c>
      <c r="V186" s="7">
        <f t="shared" si="59"/>
        <v>1328.48198784174</v>
      </c>
      <c r="W186" s="7">
        <f t="shared" si="60"/>
        <v>370.577006638907</v>
      </c>
      <c r="X186" s="7">
        <f t="shared" si="61"/>
        <v>1379.19966280064</v>
      </c>
      <c r="Y186" s="7">
        <f t="shared" si="62"/>
        <v>-740.297884128489</v>
      </c>
    </row>
    <row r="187" ht="14.25">
      <c r="A187">
        <v>-27</v>
      </c>
      <c r="B187">
        <f t="shared" si="44"/>
        <v>-8.1</v>
      </c>
      <c r="E187">
        <f t="shared" si="45"/>
        <v>-5.265</v>
      </c>
      <c r="F187">
        <f t="shared" si="46"/>
        <v>-5.265</v>
      </c>
      <c r="G187">
        <f t="shared" si="47"/>
        <v>280.272461080723</v>
      </c>
      <c r="H187">
        <f t="shared" si="48"/>
        <v>280.272461080723</v>
      </c>
      <c r="I187">
        <f t="shared" si="49"/>
        <v>-65.1646999284454</v>
      </c>
      <c r="J187">
        <f t="shared" si="50"/>
        <v>287.748311127989</v>
      </c>
      <c r="K187" s="6">
        <f t="shared" si="51"/>
        <v>37.9626</v>
      </c>
      <c r="N187" s="6">
        <f t="shared" si="52"/>
        <v>-48.6</v>
      </c>
      <c r="O187" s="6">
        <f t="shared" si="53"/>
        <v>-105.765660817895</v>
      </c>
      <c r="P187" s="7">
        <f t="shared" si="54"/>
        <v>93.2449730106349</v>
      </c>
      <c r="Q187" s="7"/>
      <c r="R187" s="7">
        <f t="shared" si="55"/>
        <v>285.858544044765</v>
      </c>
      <c r="S187" s="7">
        <f t="shared" si="56"/>
        <v>60.6092324569127</v>
      </c>
      <c r="T187" s="7">
        <f t="shared" si="57"/>
        <v>60.6092324569127</v>
      </c>
      <c r="U187" s="7">
        <f t="shared" si="58"/>
        <v>1291.22080661591</v>
      </c>
      <c r="V187" s="7">
        <f t="shared" si="59"/>
        <v>1291.22080661591</v>
      </c>
      <c r="W187" s="7">
        <f t="shared" si="60"/>
        <v>377.375799743194</v>
      </c>
      <c r="X187" s="7">
        <f t="shared" si="61"/>
        <v>1345.2374012306</v>
      </c>
      <c r="Y187" s="7">
        <f t="shared" si="62"/>
        <v>-744.201048449075</v>
      </c>
    </row>
    <row r="188" ht="14.25">
      <c r="A188">
        <v>-28</v>
      </c>
      <c r="B188">
        <f t="shared" si="44"/>
        <v>-8.4</v>
      </c>
      <c r="E188">
        <f t="shared" si="45"/>
        <v>-5.46</v>
      </c>
      <c r="F188">
        <f t="shared" si="46"/>
        <v>-5.46</v>
      </c>
      <c r="G188">
        <f t="shared" si="47"/>
        <v>277.037877284587</v>
      </c>
      <c r="H188">
        <f t="shared" si="48"/>
        <v>277.037877284587</v>
      </c>
      <c r="I188">
        <f t="shared" si="49"/>
        <v>-65.3596999284454</v>
      </c>
      <c r="J188">
        <f t="shared" si="50"/>
        <v>284.643418727865</v>
      </c>
      <c r="K188" s="6">
        <f t="shared" si="51"/>
        <v>37.6584</v>
      </c>
      <c r="N188" s="6">
        <f t="shared" si="52"/>
        <v>-50.4</v>
      </c>
      <c r="O188" s="6">
        <f t="shared" si="53"/>
        <v>-108.642367231386</v>
      </c>
      <c r="P188" s="7">
        <f t="shared" si="54"/>
        <v>89.8767825545653</v>
      </c>
      <c r="Q188" s="7"/>
      <c r="R188" s="7">
        <f t="shared" si="55"/>
        <v>283.988684875996</v>
      </c>
      <c r="S188" s="7">
        <f t="shared" si="56"/>
        <v>58.4199086604674</v>
      </c>
      <c r="T188" s="7">
        <f t="shared" si="57"/>
        <v>58.4199086604674</v>
      </c>
      <c r="U188" s="7">
        <f t="shared" si="58"/>
        <v>1253.03529987546</v>
      </c>
      <c r="V188" s="7">
        <f t="shared" si="59"/>
        <v>1253.03529987546</v>
      </c>
      <c r="W188" s="7">
        <f t="shared" si="60"/>
        <v>383.802168494268</v>
      </c>
      <c r="X188" s="7">
        <f t="shared" si="61"/>
        <v>1310.49668724301</v>
      </c>
      <c r="Y188" s="7">
        <f t="shared" si="62"/>
        <v>-745.889916748359</v>
      </c>
    </row>
    <row r="189" ht="14.25">
      <c r="A189">
        <v>-29</v>
      </c>
      <c r="B189">
        <f t="shared" si="44"/>
        <v>-8.7</v>
      </c>
      <c r="E189">
        <f t="shared" si="45"/>
        <v>-5.655</v>
      </c>
      <c r="F189">
        <f t="shared" si="46"/>
        <v>-5.655</v>
      </c>
      <c r="G189">
        <f t="shared" si="47"/>
        <v>273.803293488451</v>
      </c>
      <c r="H189">
        <f t="shared" si="48"/>
        <v>273.803293488451</v>
      </c>
      <c r="I189">
        <f t="shared" si="49"/>
        <v>-65.5546999284454</v>
      </c>
      <c r="J189">
        <f t="shared" si="50"/>
        <v>281.541581667489</v>
      </c>
      <c r="K189" s="6">
        <f t="shared" si="51"/>
        <v>37.3542</v>
      </c>
      <c r="N189" s="6">
        <f t="shared" si="52"/>
        <v>-52.2</v>
      </c>
      <c r="O189" s="6">
        <f t="shared" si="53"/>
        <v>-111.411856744972</v>
      </c>
      <c r="P189" s="7">
        <f t="shared" si="54"/>
        <v>86.4198945650697</v>
      </c>
      <c r="Q189" s="7"/>
      <c r="R189" s="7">
        <f t="shared" si="55"/>
        <v>282.188516692165</v>
      </c>
      <c r="S189" s="7">
        <f t="shared" si="56"/>
        <v>56.1729314672953</v>
      </c>
      <c r="T189" s="7">
        <f t="shared" si="57"/>
        <v>56.1729314672953</v>
      </c>
      <c r="U189" s="7">
        <f t="shared" si="58"/>
        <v>1213.96315210537</v>
      </c>
      <c r="V189" s="7">
        <f t="shared" si="59"/>
        <v>1213.96315210537</v>
      </c>
      <c r="W189" s="7">
        <f t="shared" si="60"/>
        <v>389.849770842035</v>
      </c>
      <c r="X189" s="7">
        <f t="shared" si="61"/>
        <v>1275.02524621875</v>
      </c>
      <c r="Y189" s="7">
        <f t="shared" si="62"/>
        <v>-745.377481151989</v>
      </c>
    </row>
    <row r="190" ht="14.25">
      <c r="A190">
        <v>-30</v>
      </c>
      <c r="B190">
        <f t="shared" si="44"/>
        <v>-9</v>
      </c>
      <c r="E190">
        <f t="shared" si="45"/>
        <v>-5.85</v>
      </c>
      <c r="F190">
        <f t="shared" si="46"/>
        <v>-5.85</v>
      </c>
      <c r="G190">
        <f t="shared" si="47"/>
        <v>270.568709692315</v>
      </c>
      <c r="H190">
        <f t="shared" si="48"/>
        <v>270.568709692315</v>
      </c>
      <c r="I190">
        <f t="shared" si="49"/>
        <v>-65.7496999284454</v>
      </c>
      <c r="J190">
        <f t="shared" si="50"/>
        <v>278.44290205578</v>
      </c>
      <c r="K190" s="6">
        <f t="shared" si="51"/>
        <v>37.05</v>
      </c>
      <c r="N190" s="6">
        <f t="shared" si="52"/>
        <v>-54</v>
      </c>
      <c r="O190" s="6">
        <f t="shared" si="53"/>
        <v>-114.071396206868</v>
      </c>
      <c r="P190" s="7">
        <f t="shared" si="54"/>
        <v>82.8777205732387</v>
      </c>
      <c r="Q190" s="7"/>
      <c r="R190" s="7">
        <f t="shared" si="55"/>
        <v>280.459816041933</v>
      </c>
      <c r="S190" s="7">
        <f t="shared" si="56"/>
        <v>53.8705183726052</v>
      </c>
      <c r="T190" s="7">
        <f t="shared" si="57"/>
        <v>53.8705183726052</v>
      </c>
      <c r="U190" s="7">
        <f t="shared" si="58"/>
        <v>1174.04292279823</v>
      </c>
      <c r="V190" s="7">
        <f t="shared" si="59"/>
        <v>1174.04292279823</v>
      </c>
      <c r="W190" s="7">
        <f t="shared" si="60"/>
        <v>395.512638533114</v>
      </c>
      <c r="X190" s="7">
        <f t="shared" si="61"/>
        <v>1238.87329126591</v>
      </c>
      <c r="Y190" s="7">
        <f t="shared" si="62"/>
        <v>-742.684688684177</v>
      </c>
    </row>
    <row r="191" ht="14.25">
      <c r="A191">
        <v>-31</v>
      </c>
      <c r="B191">
        <f t="shared" si="44"/>
        <v>-9.3</v>
      </c>
      <c r="E191">
        <f t="shared" si="45"/>
        <v>-6.045</v>
      </c>
      <c r="F191">
        <f t="shared" si="46"/>
        <v>-6.045</v>
      </c>
      <c r="G191">
        <f t="shared" si="47"/>
        <v>267.334125896179</v>
      </c>
      <c r="H191">
        <f t="shared" si="48"/>
        <v>267.334125896179</v>
      </c>
      <c r="I191">
        <f t="shared" si="49"/>
        <v>-65.9446999284454</v>
      </c>
      <c r="J191">
        <f t="shared" si="50"/>
        <v>275.347486491754</v>
      </c>
      <c r="K191" s="6">
        <f t="shared" si="51"/>
        <v>36.7458</v>
      </c>
      <c r="N191" s="6">
        <f t="shared" si="52"/>
        <v>-55.8</v>
      </c>
      <c r="O191" s="6">
        <f t="shared" si="53"/>
        <v>-116.618360972713</v>
      </c>
      <c r="P191" s="7">
        <f t="shared" si="54"/>
        <v>79.2537562771504</v>
      </c>
      <c r="Q191" s="7"/>
      <c r="R191" s="7">
        <f t="shared" si="55"/>
        <v>278.804288944133</v>
      </c>
      <c r="S191" s="7">
        <f t="shared" si="56"/>
        <v>51.5149415801478</v>
      </c>
      <c r="T191" s="7">
        <f t="shared" si="57"/>
        <v>51.5149415801478</v>
      </c>
      <c r="U191" s="7">
        <f t="shared" si="58"/>
        <v>1133.31400840076</v>
      </c>
      <c r="V191" s="7">
        <f t="shared" si="59"/>
        <v>1133.31400840076</v>
      </c>
      <c r="W191" s="7">
        <f t="shared" si="60"/>
        <v>400.78518300078</v>
      </c>
      <c r="X191" s="7">
        <f t="shared" si="61"/>
        <v>1202.09375863547</v>
      </c>
      <c r="Y191" s="7">
        <f t="shared" si="62"/>
        <v>-737.840339922989</v>
      </c>
    </row>
    <row r="192" ht="14.25">
      <c r="A192">
        <v>-32</v>
      </c>
      <c r="B192">
        <f t="shared" si="44"/>
        <v>-9.6</v>
      </c>
      <c r="E192">
        <f t="shared" si="45"/>
        <v>-6.24</v>
      </c>
      <c r="F192">
        <f t="shared" si="46"/>
        <v>-6.24</v>
      </c>
      <c r="G192">
        <f t="shared" si="47"/>
        <v>264.099542100043</v>
      </c>
      <c r="H192">
        <f t="shared" si="48"/>
        <v>264.099542100043</v>
      </c>
      <c r="I192">
        <f t="shared" si="49"/>
        <v>-66.1396999284454</v>
      </c>
      <c r="J192">
        <f t="shared" si="50"/>
        <v>272.255446307465</v>
      </c>
      <c r="K192" s="6">
        <f t="shared" si="51"/>
        <v>36.4416</v>
      </c>
      <c r="N192" s="6">
        <f t="shared" si="52"/>
        <v>-57.6</v>
      </c>
      <c r="O192" s="6">
        <f t="shared" si="53"/>
        <v>-119.050237495784</v>
      </c>
      <c r="P192" s="7">
        <f t="shared" si="54"/>
        <v>75.5515780920385</v>
      </c>
      <c r="Q192" s="7"/>
      <c r="R192" s="7">
        <f t="shared" si="55"/>
        <v>277.223569204137</v>
      </c>
      <c r="S192" s="7">
        <f t="shared" si="56"/>
        <v>49.108525759825</v>
      </c>
      <c r="T192" s="7">
        <f t="shared" si="57"/>
        <v>49.108525759825</v>
      </c>
      <c r="U192" s="7">
        <f t="shared" si="58"/>
        <v>1091.81660343419</v>
      </c>
      <c r="V192" s="7">
        <f t="shared" si="59"/>
        <v>1091.81660343419</v>
      </c>
      <c r="W192" s="7">
        <f t="shared" si="60"/>
        <v>405.662200880206</v>
      </c>
      <c r="X192" s="7">
        <f t="shared" si="61"/>
        <v>1164.7425967816</v>
      </c>
      <c r="Y192" s="7">
        <f t="shared" si="62"/>
        <v>-730.880957402717</v>
      </c>
    </row>
    <row r="193" ht="14.25">
      <c r="A193">
        <v>-33</v>
      </c>
      <c r="B193">
        <f t="shared" si="44"/>
        <v>-9.9</v>
      </c>
      <c r="E193">
        <f t="shared" si="45"/>
        <v>-6.435</v>
      </c>
      <c r="F193">
        <f t="shared" si="46"/>
        <v>-6.435</v>
      </c>
      <c r="G193">
        <f t="shared" si="47"/>
        <v>260.864958303907</v>
      </c>
      <c r="H193">
        <f t="shared" si="48"/>
        <v>260.864958303907</v>
      </c>
      <c r="I193">
        <f t="shared" si="49"/>
        <v>-66.3346999284454</v>
      </c>
      <c r="J193">
        <f t="shared" si="50"/>
        <v>269.166897826416</v>
      </c>
      <c r="K193" s="6">
        <f t="shared" si="51"/>
        <v>36.1374</v>
      </c>
      <c r="N193" s="6">
        <f t="shared" si="52"/>
        <v>-59.4</v>
      </c>
      <c r="O193" s="6">
        <f t="shared" si="53"/>
        <v>-121.364625807556</v>
      </c>
      <c r="P193" s="7">
        <f t="shared" si="54"/>
        <v>71.7748396208023</v>
      </c>
      <c r="Q193" s="7"/>
      <c r="R193" s="7">
        <f t="shared" si="55"/>
        <v>275.719216801485</v>
      </c>
      <c r="S193" s="7">
        <f t="shared" si="56"/>
        <v>46.6536457535215</v>
      </c>
      <c r="T193" s="7">
        <f t="shared" si="57"/>
        <v>46.6536457535215</v>
      </c>
      <c r="U193" s="7">
        <f t="shared" si="58"/>
        <v>1049.59166082719</v>
      </c>
      <c r="V193" s="7">
        <f t="shared" si="59"/>
        <v>1049.59166082719</v>
      </c>
      <c r="W193" s="7">
        <f t="shared" si="60"/>
        <v>410.138879143555</v>
      </c>
      <c r="X193" s="7">
        <f t="shared" si="61"/>
        <v>1126.87912158452</v>
      </c>
      <c r="Y193" s="7">
        <f t="shared" si="62"/>
        <v>-721.85062430037</v>
      </c>
    </row>
    <row r="194" ht="14.25">
      <c r="A194">
        <v>-34</v>
      </c>
      <c r="B194">
        <f t="shared" si="44"/>
        <v>-10.2</v>
      </c>
      <c r="E194">
        <f t="shared" si="45"/>
        <v>-6.63</v>
      </c>
      <c r="F194">
        <f t="shared" si="46"/>
        <v>-6.63</v>
      </c>
      <c r="G194">
        <f t="shared" si="47"/>
        <v>257.630374507771</v>
      </c>
      <c r="H194">
        <f t="shared" si="48"/>
        <v>257.630374507771</v>
      </c>
      <c r="I194">
        <f t="shared" si="49"/>
        <v>-66.5296999284454</v>
      </c>
      <c r="J194">
        <f t="shared" si="50"/>
        <v>266.081962638551</v>
      </c>
      <c r="K194" s="6">
        <f t="shared" si="51"/>
        <v>35.8332</v>
      </c>
      <c r="N194" s="6">
        <f t="shared" si="52"/>
        <v>-61.2</v>
      </c>
      <c r="O194" s="6">
        <f t="shared" si="53"/>
        <v>-123.559241886185</v>
      </c>
      <c r="P194" s="7">
        <f t="shared" si="54"/>
        <v>67.9272680483418</v>
      </c>
      <c r="Q194" s="7"/>
      <c r="R194" s="7">
        <f t="shared" si="55"/>
        <v>274.292716350377</v>
      </c>
      <c r="S194" s="7">
        <f t="shared" si="56"/>
        <v>44.1527242314222</v>
      </c>
      <c r="T194" s="7">
        <f t="shared" si="57"/>
        <v>44.1527242314222</v>
      </c>
      <c r="U194" s="7">
        <f t="shared" si="58"/>
        <v>1006.68085150023</v>
      </c>
      <c r="V194" s="7">
        <f t="shared" si="59"/>
        <v>1006.68085150023</v>
      </c>
      <c r="W194" s="7">
        <f t="shared" si="60"/>
        <v>414.210799849856</v>
      </c>
      <c r="X194" s="7">
        <f t="shared" si="61"/>
        <v>1088.56645340994</v>
      </c>
      <c r="Y194" s="7">
        <f t="shared" si="62"/>
        <v>-710.800794059879</v>
      </c>
    </row>
    <row r="195" ht="14.25">
      <c r="A195">
        <v>-35</v>
      </c>
      <c r="B195">
        <f t="shared" si="44"/>
        <v>-10.5</v>
      </c>
      <c r="E195">
        <f t="shared" si="45"/>
        <v>-6.825</v>
      </c>
      <c r="F195">
        <f t="shared" si="46"/>
        <v>-6.825</v>
      </c>
      <c r="G195">
        <f t="shared" si="47"/>
        <v>254.395790711635</v>
      </c>
      <c r="H195">
        <f t="shared" si="48"/>
        <v>254.395790711635</v>
      </c>
      <c r="I195">
        <f t="shared" si="49"/>
        <v>-66.7246999284454</v>
      </c>
      <c r="J195">
        <f t="shared" si="50"/>
        <v>263.00076789306</v>
      </c>
      <c r="K195" s="6">
        <f t="shared" si="51"/>
        <v>35.529</v>
      </c>
      <c r="N195" s="6">
        <f t="shared" si="52"/>
        <v>-63</v>
      </c>
      <c r="O195" s="6">
        <f t="shared" si="53"/>
        <v>-125.63191991056</v>
      </c>
      <c r="P195" s="7">
        <f t="shared" si="54"/>
        <v>64.0126604632761</v>
      </c>
      <c r="Q195" s="7"/>
      <c r="R195" s="7">
        <f t="shared" si="55"/>
        <v>272.945475634533</v>
      </c>
      <c r="S195" s="7">
        <f t="shared" si="56"/>
        <v>41.6082293011295</v>
      </c>
      <c r="T195" s="7">
        <f t="shared" si="57"/>
        <v>41.6082293011295</v>
      </c>
      <c r="U195" s="7">
        <f t="shared" si="58"/>
        <v>963.126523241438</v>
      </c>
      <c r="V195" s="7">
        <f t="shared" si="59"/>
        <v>963.126523241438</v>
      </c>
      <c r="W195" s="7">
        <f t="shared" si="60"/>
        <v>417.87394450498</v>
      </c>
      <c r="X195" s="7">
        <f t="shared" si="61"/>
        <v>1049.8720556655</v>
      </c>
      <c r="Y195" s="7">
        <f t="shared" si="62"/>
        <v>-697.790071721518</v>
      </c>
    </row>
    <row r="196" ht="14.25">
      <c r="A196">
        <v>-36</v>
      </c>
      <c r="B196">
        <f t="shared" si="44"/>
        <v>-10.8</v>
      </c>
      <c r="E196">
        <f t="shared" si="45"/>
        <v>-7.02</v>
      </c>
      <c r="F196">
        <f t="shared" si="46"/>
        <v>-7.02</v>
      </c>
      <c r="G196">
        <f t="shared" si="47"/>
        <v>251.161206915499</v>
      </c>
      <c r="H196">
        <f t="shared" si="48"/>
        <v>251.161206915499</v>
      </c>
      <c r="I196">
        <f t="shared" si="49"/>
        <v>-66.9196999284454</v>
      </c>
      <c r="J196">
        <f t="shared" si="50"/>
        <v>259.923446610272</v>
      </c>
      <c r="K196" s="6">
        <f t="shared" si="51"/>
        <v>35.2248</v>
      </c>
      <c r="N196" s="6">
        <f t="shared" si="52"/>
        <v>-64.8</v>
      </c>
      <c r="O196" s="6">
        <f t="shared" si="53"/>
        <v>-127.580614397709</v>
      </c>
      <c r="P196" s="7">
        <f t="shared" si="54"/>
        <v>60.0348801106752</v>
      </c>
      <c r="Q196" s="7"/>
      <c r="R196" s="7">
        <f t="shared" si="55"/>
        <v>271.678824217886</v>
      </c>
      <c r="S196" s="7">
        <f t="shared" si="56"/>
        <v>39.0226720719389</v>
      </c>
      <c r="T196" s="7">
        <f t="shared" si="57"/>
        <v>39.0226720719389</v>
      </c>
      <c r="U196" s="7">
        <f t="shared" si="58"/>
        <v>918.971658914421</v>
      </c>
      <c r="V196" s="7">
        <f t="shared" si="59"/>
        <v>918.971658914421</v>
      </c>
      <c r="W196" s="7">
        <f t="shared" si="60"/>
        <v>421.124698027412</v>
      </c>
      <c r="X196" s="7">
        <f t="shared" si="61"/>
        <v>1010.86839953408</v>
      </c>
      <c r="Y196" s="7">
        <f t="shared" si="62"/>
        <v>-682.883967834936</v>
      </c>
    </row>
    <row r="197" ht="14.25">
      <c r="A197">
        <v>-37</v>
      </c>
      <c r="B197">
        <f t="shared" si="44"/>
        <v>-11.1</v>
      </c>
      <c r="E197">
        <f t="shared" si="45"/>
        <v>-7.215</v>
      </c>
      <c r="F197">
        <f t="shared" si="46"/>
        <v>-7.215</v>
      </c>
      <c r="G197">
        <f t="shared" si="47"/>
        <v>247.926623119363</v>
      </c>
      <c r="H197">
        <f t="shared" si="48"/>
        <v>247.926623119363</v>
      </c>
      <c r="I197">
        <f t="shared" si="49"/>
        <v>-67.1146999284454</v>
      </c>
      <c r="J197">
        <f t="shared" si="50"/>
        <v>256.850138014088</v>
      </c>
      <c r="K197" s="6">
        <f t="shared" si="51"/>
        <v>34.9206</v>
      </c>
      <c r="N197" s="6">
        <f t="shared" si="52"/>
        <v>-66.6</v>
      </c>
      <c r="O197" s="6">
        <f t="shared" si="53"/>
        <v>-129.403402221441</v>
      </c>
      <c r="P197" s="7">
        <f t="shared" si="54"/>
        <v>55.9978525795041</v>
      </c>
      <c r="Q197" s="7"/>
      <c r="R197" s="7">
        <f t="shared" si="55"/>
        <v>270.49401213246</v>
      </c>
      <c r="S197" s="7">
        <f t="shared" si="56"/>
        <v>36.3986041766776</v>
      </c>
      <c r="T197" s="7">
        <f t="shared" si="57"/>
        <v>36.3986041766776</v>
      </c>
      <c r="U197" s="7">
        <f t="shared" si="58"/>
        <v>874.25983403939</v>
      </c>
      <c r="V197" s="7">
        <f t="shared" si="59"/>
        <v>874.25983403939</v>
      </c>
      <c r="W197" s="7">
        <f t="shared" si="60"/>
        <v>423.959852315891</v>
      </c>
      <c r="X197" s="7">
        <f t="shared" si="61"/>
        <v>971.633785842328</v>
      </c>
      <c r="Y197" s="7">
        <f t="shared" si="62"/>
        <v>-666.154625941609</v>
      </c>
    </row>
    <row r="198" ht="14.25">
      <c r="A198">
        <v>-38</v>
      </c>
      <c r="B198">
        <f t="shared" si="44"/>
        <v>-11.4</v>
      </c>
      <c r="E198">
        <f t="shared" si="45"/>
        <v>-7.41</v>
      </c>
      <c r="F198">
        <f t="shared" si="46"/>
        <v>-7.41</v>
      </c>
      <c r="G198">
        <f t="shared" si="47"/>
        <v>244.692039323227</v>
      </c>
      <c r="H198">
        <f t="shared" si="48"/>
        <v>244.692039323227</v>
      </c>
      <c r="I198">
        <f t="shared" si="49"/>
        <v>-67.3096999284454</v>
      </c>
      <c r="J198">
        <f t="shared" si="50"/>
        <v>253.780987886439</v>
      </c>
      <c r="K198" s="6">
        <f t="shared" si="51"/>
        <v>34.6164</v>
      </c>
      <c r="N198" s="6">
        <f t="shared" si="52"/>
        <v>-68.4</v>
      </c>
      <c r="O198" s="6">
        <f t="shared" si="53"/>
        <v>-131.098484510243</v>
      </c>
      <c r="P198" s="7">
        <f t="shared" si="54"/>
        <v>51.9055619285396</v>
      </c>
      <c r="Q198" s="7"/>
      <c r="R198" s="7">
        <f t="shared" si="55"/>
        <v>269.392208644738</v>
      </c>
      <c r="S198" s="7">
        <f t="shared" si="56"/>
        <v>33.7386152535507</v>
      </c>
      <c r="T198" s="7">
        <f t="shared" si="57"/>
        <v>33.7386152535507</v>
      </c>
      <c r="U198" s="7">
        <f t="shared" si="58"/>
        <v>829.035173789373</v>
      </c>
      <c r="V198" s="7">
        <f t="shared" si="59"/>
        <v>829.035173789373</v>
      </c>
      <c r="W198" s="7">
        <f t="shared" si="60"/>
        <v>426.376609415427</v>
      </c>
      <c r="X198" s="7">
        <f t="shared" si="61"/>
        <v>932.253362791775</v>
      </c>
      <c r="Y198" s="7">
        <f t="shared" si="62"/>
        <v>-647.680524715996</v>
      </c>
    </row>
    <row r="199" ht="14.25">
      <c r="A199">
        <v>-39</v>
      </c>
      <c r="B199">
        <f t="shared" si="44"/>
        <v>-11.7</v>
      </c>
      <c r="E199">
        <f t="shared" si="45"/>
        <v>-7.605</v>
      </c>
      <c r="F199">
        <f t="shared" si="46"/>
        <v>-7.605</v>
      </c>
      <c r="G199">
        <f t="shared" si="47"/>
        <v>241.457455527091</v>
      </c>
      <c r="H199">
        <f t="shared" si="48"/>
        <v>241.457455527091</v>
      </c>
      <c r="I199">
        <f t="shared" si="49"/>
        <v>-67.5046999284454</v>
      </c>
      <c r="J199">
        <f t="shared" si="50"/>
        <v>250.716148945469</v>
      </c>
      <c r="K199" s="6">
        <f t="shared" si="51"/>
        <v>34.3122</v>
      </c>
      <c r="N199" s="6">
        <f t="shared" si="52"/>
        <v>-70.2</v>
      </c>
      <c r="O199" s="6">
        <f t="shared" si="53"/>
        <v>-132.664188422546</v>
      </c>
      <c r="P199" s="7">
        <f t="shared" si="54"/>
        <v>47.7620467545861</v>
      </c>
      <c r="Q199" s="7"/>
      <c r="R199" s="7">
        <f t="shared" si="55"/>
        <v>268.374501101742</v>
      </c>
      <c r="S199" s="7">
        <f t="shared" si="56"/>
        <v>31.045330390481</v>
      </c>
      <c r="T199" s="7">
        <f t="shared" si="57"/>
        <v>31.045330390481</v>
      </c>
      <c r="U199" s="7">
        <f t="shared" si="58"/>
        <v>783.342309443997</v>
      </c>
      <c r="V199" s="7">
        <f t="shared" si="59"/>
        <v>783.342309443997</v>
      </c>
      <c r="W199" s="7">
        <f t="shared" si="60"/>
        <v>428.372584278542</v>
      </c>
      <c r="X199" s="7">
        <f t="shared" si="61"/>
        <v>892.820387718903</v>
      </c>
      <c r="Y199" s="7">
        <f t="shared" si="62"/>
        <v>-627.546155953884</v>
      </c>
    </row>
    <row r="200" ht="14.25">
      <c r="A200">
        <v>-40</v>
      </c>
      <c r="B200">
        <f t="shared" si="44"/>
        <v>-12</v>
      </c>
      <c r="E200">
        <f t="shared" si="45"/>
        <v>-7.8</v>
      </c>
      <c r="F200">
        <f t="shared" si="46"/>
        <v>-7.8</v>
      </c>
      <c r="G200">
        <f t="shared" si="47"/>
        <v>238.222871730955</v>
      </c>
      <c r="H200">
        <f t="shared" si="48"/>
        <v>238.222871730955</v>
      </c>
      <c r="I200">
        <f t="shared" si="49"/>
        <v>-67.6996999284454</v>
      </c>
      <c r="J200">
        <f t="shared" si="50"/>
        <v>247.655781249185</v>
      </c>
      <c r="K200" s="6">
        <f t="shared" si="51"/>
        <v>34.008</v>
      </c>
      <c r="N200" s="6">
        <f t="shared" si="52"/>
        <v>-72</v>
      </c>
      <c r="O200" s="6">
        <f t="shared" si="53"/>
        <v>-134.098968797617</v>
      </c>
      <c r="P200" s="7">
        <f t="shared" si="54"/>
        <v>43.5713962068676</v>
      </c>
      <c r="Q200" s="7"/>
      <c r="R200" s="7">
        <f t="shared" si="55"/>
        <v>267.441893857946</v>
      </c>
      <c r="S200" s="7">
        <f t="shared" si="56"/>
        <v>28.3214075344639</v>
      </c>
      <c r="T200" s="7">
        <f t="shared" si="57"/>
        <v>28.3214075344639</v>
      </c>
      <c r="U200" s="7">
        <f t="shared" si="58"/>
        <v>737.226334343805</v>
      </c>
      <c r="V200" s="7">
        <f t="shared" si="59"/>
        <v>737.226334343805</v>
      </c>
      <c r="W200" s="7">
        <f t="shared" si="60"/>
        <v>429.945807119024</v>
      </c>
      <c r="X200" s="7">
        <f t="shared" si="61"/>
        <v>853.437792173063</v>
      </c>
      <c r="Y200" s="7">
        <f t="shared" si="62"/>
        <v>-605.841679690893</v>
      </c>
    </row>
    <row r="201" ht="14.25">
      <c r="A201">
        <v>-41</v>
      </c>
      <c r="B201">
        <f t="shared" si="44"/>
        <v>-12.3</v>
      </c>
      <c r="E201">
        <f t="shared" si="45"/>
        <v>-7.995</v>
      </c>
      <c r="F201">
        <f t="shared" si="46"/>
        <v>-7.995</v>
      </c>
      <c r="G201">
        <f t="shared" si="47"/>
        <v>234.988287934819</v>
      </c>
      <c r="H201">
        <f t="shared" si="48"/>
        <v>234.988287934819</v>
      </c>
      <c r="I201">
        <f t="shared" si="49"/>
        <v>-67.8946999284454</v>
      </c>
      <c r="J201">
        <f t="shared" si="50"/>
        <v>244.60005262655</v>
      </c>
      <c r="K201" s="6">
        <f t="shared" si="51"/>
        <v>33.7038</v>
      </c>
      <c r="N201" s="6">
        <f t="shared" si="52"/>
        <v>-73.8</v>
      </c>
      <c r="O201" s="6">
        <f t="shared" si="53"/>
        <v>-135.401409680449</v>
      </c>
      <c r="P201" s="7">
        <f t="shared" si="54"/>
        <v>39.3377459515314</v>
      </c>
      <c r="Q201" s="7"/>
      <c r="R201" s="7">
        <f t="shared" si="55"/>
        <v>266.595307284105</v>
      </c>
      <c r="S201" s="7">
        <f t="shared" si="56"/>
        <v>25.5695348684954</v>
      </c>
      <c r="T201" s="7">
        <f t="shared" si="57"/>
        <v>25.5695348684954</v>
      </c>
      <c r="U201" s="7">
        <f t="shared" si="58"/>
        <v>690.732759388571</v>
      </c>
      <c r="V201" s="7">
        <f t="shared" si="59"/>
        <v>690.732759388571</v>
      </c>
      <c r="W201" s="7">
        <f t="shared" si="60"/>
        <v>431.094725355865</v>
      </c>
      <c r="X201" s="7">
        <f t="shared" si="61"/>
        <v>814.220122032241</v>
      </c>
      <c r="Y201" s="7">
        <f t="shared" si="62"/>
        <v>-582.662557823499</v>
      </c>
    </row>
    <row r="202" ht="14.25">
      <c r="A202">
        <v>-42</v>
      </c>
      <c r="B202">
        <f t="shared" si="44"/>
        <v>-12.6</v>
      </c>
      <c r="E202">
        <f t="shared" si="45"/>
        <v>-8.19</v>
      </c>
      <c r="F202">
        <f t="shared" si="46"/>
        <v>-8.19</v>
      </c>
      <c r="G202">
        <f t="shared" si="47"/>
        <v>231.753704138683</v>
      </c>
      <c r="H202">
        <f t="shared" si="48"/>
        <v>231.753704138683</v>
      </c>
      <c r="I202">
        <f t="shared" si="49"/>
        <v>-68.0896999284454</v>
      </c>
      <c r="J202">
        <f t="shared" si="50"/>
        <v>241.549139138076</v>
      </c>
      <c r="K202" s="6">
        <f t="shared" si="51"/>
        <v>33.3996</v>
      </c>
      <c r="N202" s="6">
        <f t="shared" si="52"/>
        <v>-75.6</v>
      </c>
      <c r="O202" s="6">
        <f t="shared" si="53"/>
        <v>-136.570225719137</v>
      </c>
      <c r="P202" s="7">
        <f t="shared" si="54"/>
        <v>35.0652740902446</v>
      </c>
      <c r="Q202" s="7"/>
      <c r="R202" s="7">
        <f t="shared" si="55"/>
        <v>265.835576858958</v>
      </c>
      <c r="S202" s="7">
        <f t="shared" si="56"/>
        <v>22.792428158659</v>
      </c>
      <c r="T202" s="7">
        <f t="shared" si="57"/>
        <v>22.792428158659</v>
      </c>
      <c r="U202" s="7">
        <f t="shared" si="58"/>
        <v>643.907468123539</v>
      </c>
      <c r="V202" s="7">
        <f t="shared" si="59"/>
        <v>643.907468123539</v>
      </c>
      <c r="W202" s="7">
        <f t="shared" si="60"/>
        <v>431.818205145477</v>
      </c>
      <c r="X202" s="7">
        <f t="shared" si="61"/>
        <v>775.295936917205</v>
      </c>
      <c r="Y202" s="7">
        <f t="shared" si="62"/>
        <v>-558.109167688934</v>
      </c>
    </row>
    <row r="203" ht="14.25">
      <c r="A203">
        <v>-43</v>
      </c>
      <c r="B203">
        <f t="shared" si="44"/>
        <v>-12.9</v>
      </c>
      <c r="E203">
        <f t="shared" si="45"/>
        <v>-8.385</v>
      </c>
      <c r="F203">
        <f t="shared" si="46"/>
        <v>-8.385</v>
      </c>
      <c r="G203">
        <f t="shared" si="47"/>
        <v>228.519120342546</v>
      </c>
      <c r="H203">
        <f t="shared" si="48"/>
        <v>228.519120342546</v>
      </c>
      <c r="I203">
        <f t="shared" si="49"/>
        <v>-68.2846999284454</v>
      </c>
      <c r="J203">
        <f t="shared" si="50"/>
        <v>238.503225568228</v>
      </c>
      <c r="K203" s="6">
        <f t="shared" si="51"/>
        <v>33.0954</v>
      </c>
      <c r="N203" s="6">
        <f t="shared" si="52"/>
        <v>-77.4</v>
      </c>
      <c r="O203" s="6">
        <f t="shared" si="53"/>
        <v>-137.604263433363</v>
      </c>
      <c r="P203" s="7">
        <f t="shared" si="54"/>
        <v>30.7581970369125</v>
      </c>
      <c r="Q203" s="7"/>
      <c r="R203" s="7">
        <f t="shared" si="55"/>
        <v>265.16345234471</v>
      </c>
      <c r="S203" s="7">
        <f t="shared" si="56"/>
        <v>19.9928280739931</v>
      </c>
      <c r="T203" s="7">
        <f t="shared" si="57"/>
        <v>19.9928280739931</v>
      </c>
      <c r="U203" s="7">
        <f t="shared" si="58"/>
        <v>596.796671457901</v>
      </c>
      <c r="V203" s="7">
        <f t="shared" si="59"/>
        <v>596.796671457901</v>
      </c>
      <c r="W203" s="7">
        <f t="shared" si="60"/>
        <v>432.115532500654</v>
      </c>
      <c r="X203" s="7">
        <f t="shared" si="61"/>
        <v>736.810763012833</v>
      </c>
      <c r="Y203" s="7">
        <f t="shared" si="62"/>
        <v>-532.286397138541</v>
      </c>
    </row>
    <row r="204" ht="14.25">
      <c r="A204">
        <v>-44</v>
      </c>
      <c r="B204">
        <f t="shared" si="44"/>
        <v>-13.2</v>
      </c>
      <c r="E204">
        <f t="shared" si="45"/>
        <v>-8.58</v>
      </c>
      <c r="F204">
        <f t="shared" si="46"/>
        <v>-8.58</v>
      </c>
      <c r="G204">
        <f t="shared" si="47"/>
        <v>225.28453654641</v>
      </c>
      <c r="H204">
        <f t="shared" si="48"/>
        <v>225.28453654641</v>
      </c>
      <c r="I204">
        <f t="shared" si="49"/>
        <v>-68.4796999284454</v>
      </c>
      <c r="J204">
        <f t="shared" si="50"/>
        <v>235.462505952054</v>
      </c>
      <c r="K204" s="6">
        <f t="shared" si="51"/>
        <v>32.7912</v>
      </c>
      <c r="N204" s="6">
        <f t="shared" si="52"/>
        <v>-79.2</v>
      </c>
      <c r="O204" s="6">
        <f t="shared" si="53"/>
        <v>-138.502502352745</v>
      </c>
      <c r="P204" s="7">
        <f t="shared" si="54"/>
        <v>26.4207653565872</v>
      </c>
      <c r="Q204" s="7"/>
      <c r="R204" s="7">
        <f t="shared" si="55"/>
        <v>264.579597047112</v>
      </c>
      <c r="S204" s="7">
        <f t="shared" si="56"/>
        <v>17.1734974817817</v>
      </c>
      <c r="T204" s="7">
        <f t="shared" si="57"/>
        <v>17.1734974817817</v>
      </c>
      <c r="U204" s="7">
        <f t="shared" si="58"/>
        <v>549.446862060211</v>
      </c>
      <c r="V204" s="7">
        <f t="shared" si="59"/>
        <v>549.446862060211</v>
      </c>
      <c r="W204" s="7">
        <f t="shared" si="60"/>
        <v>431.986413995193</v>
      </c>
      <c r="X204" s="7">
        <f t="shared" si="61"/>
        <v>698.930694778988</v>
      </c>
      <c r="Y204" s="7">
        <f t="shared" si="62"/>
        <v>-505.303222711293</v>
      </c>
    </row>
    <row r="205" ht="14.25">
      <c r="A205">
        <v>-45</v>
      </c>
      <c r="B205">
        <f t="shared" si="44"/>
        <v>-13.5</v>
      </c>
      <c r="E205">
        <f t="shared" si="45"/>
        <v>-8.775</v>
      </c>
      <c r="F205">
        <f t="shared" si="46"/>
        <v>-8.775</v>
      </c>
      <c r="G205">
        <f t="shared" si="47"/>
        <v>222.049952750274</v>
      </c>
      <c r="H205">
        <f t="shared" si="48"/>
        <v>222.049952750274</v>
      </c>
      <c r="I205">
        <f t="shared" si="49"/>
        <v>-68.6746999284454</v>
      </c>
      <c r="J205">
        <f t="shared" si="50"/>
        <v>232.427184138734</v>
      </c>
      <c r="K205" s="6">
        <f t="shared" si="51"/>
        <v>32.487</v>
      </c>
      <c r="N205" s="6">
        <f t="shared" si="52"/>
        <v>-81</v>
      </c>
      <c r="O205" s="6">
        <f t="shared" si="53"/>
        <v>-139.264056023914</v>
      </c>
      <c r="P205" s="7">
        <f t="shared" si="54"/>
        <v>22.0572595706726</v>
      </c>
      <c r="Q205" s="7"/>
      <c r="R205" s="7">
        <f t="shared" si="55"/>
        <v>264.084587160852</v>
      </c>
      <c r="S205" s="7">
        <f t="shared" si="56"/>
        <v>14.3372187209372</v>
      </c>
      <c r="T205" s="7">
        <f t="shared" si="57"/>
        <v>14.3372187209372</v>
      </c>
      <c r="U205" s="7">
        <f t="shared" si="58"/>
        <v>501.904768475733</v>
      </c>
      <c r="V205" s="7">
        <f t="shared" si="59"/>
        <v>501.904768475733</v>
      </c>
      <c r="W205" s="7">
        <f t="shared" si="60"/>
        <v>431.430977053471</v>
      </c>
      <c r="X205" s="7">
        <f t="shared" si="61"/>
        <v>661.846722874709</v>
      </c>
      <c r="Y205" s="7">
        <f t="shared" si="62"/>
        <v>-477.272272580031</v>
      </c>
    </row>
    <row r="206" ht="14.25">
      <c r="A206">
        <v>-46</v>
      </c>
      <c r="B206">
        <f t="shared" si="44"/>
        <v>-13.8</v>
      </c>
      <c r="E206">
        <f t="shared" si="45"/>
        <v>-8.97</v>
      </c>
      <c r="F206">
        <f t="shared" si="46"/>
        <v>-8.97</v>
      </c>
      <c r="G206">
        <f t="shared" si="47"/>
        <v>218.815368954138</v>
      </c>
      <c r="H206">
        <f t="shared" si="48"/>
        <v>218.815368954138</v>
      </c>
      <c r="I206">
        <f t="shared" si="49"/>
        <v>-68.8696999284454</v>
      </c>
      <c r="J206">
        <f t="shared" si="50"/>
        <v>229.397474394924</v>
      </c>
      <c r="K206" s="6">
        <f t="shared" si="51"/>
        <v>32.1828</v>
      </c>
      <c r="N206" s="6">
        <f t="shared" si="52"/>
        <v>-82.8</v>
      </c>
      <c r="O206" s="6">
        <f t="shared" si="53"/>
        <v>-139.888172885341</v>
      </c>
      <c r="P206" s="7">
        <f t="shared" si="54"/>
        <v>17.6719859325669</v>
      </c>
      <c r="Q206" s="7"/>
      <c r="R206" s="7">
        <f t="shared" si="55"/>
        <v>263.678911200925</v>
      </c>
      <c r="S206" s="7">
        <f t="shared" si="56"/>
        <v>11.4867908561685</v>
      </c>
      <c r="T206" s="7">
        <f t="shared" si="57"/>
        <v>11.4867908561685</v>
      </c>
      <c r="U206" s="7">
        <f t="shared" si="58"/>
        <v>454.217309011009</v>
      </c>
      <c r="V206" s="7">
        <f t="shared" si="59"/>
        <v>454.217309011009</v>
      </c>
      <c r="W206" s="7">
        <f t="shared" si="60"/>
        <v>430.44976982469</v>
      </c>
      <c r="X206" s="7">
        <f t="shared" si="61"/>
        <v>625.779808037405</v>
      </c>
      <c r="Y206" s="7">
        <f t="shared" si="62"/>
        <v>-448.309376002142</v>
      </c>
    </row>
    <row r="207" ht="14.25">
      <c r="A207">
        <v>-47</v>
      </c>
      <c r="B207">
        <f t="shared" si="44"/>
        <v>-14.1</v>
      </c>
      <c r="E207">
        <f t="shared" si="45"/>
        <v>-9.165</v>
      </c>
      <c r="F207">
        <f t="shared" si="46"/>
        <v>-9.165</v>
      </c>
      <c r="G207">
        <f t="shared" si="47"/>
        <v>215.580785158002</v>
      </c>
      <c r="H207">
        <f t="shared" si="48"/>
        <v>215.580785158002</v>
      </c>
      <c r="I207">
        <f t="shared" si="49"/>
        <v>-69.0646999284454</v>
      </c>
      <c r="J207">
        <f t="shared" si="50"/>
        <v>226.373602051005</v>
      </c>
      <c r="K207" s="6">
        <f t="shared" si="51"/>
        <v>31.8786</v>
      </c>
      <c r="N207" s="6">
        <f t="shared" si="52"/>
        <v>-84.6</v>
      </c>
      <c r="O207" s="6">
        <f t="shared" si="53"/>
        <v>-140.374237009034</v>
      </c>
      <c r="P207" s="7">
        <f t="shared" si="54"/>
        <v>13.2692721779105</v>
      </c>
      <c r="Q207" s="7"/>
      <c r="R207" s="7">
        <f t="shared" si="55"/>
        <v>263.362969520524</v>
      </c>
      <c r="S207" s="7">
        <f t="shared" si="56"/>
        <v>8.62502691564186</v>
      </c>
      <c r="T207" s="7">
        <f t="shared" si="57"/>
        <v>8.62502691564186</v>
      </c>
      <c r="U207" s="7">
        <f t="shared" si="58"/>
        <v>406.431545431152</v>
      </c>
      <c r="V207" s="7">
        <f t="shared" si="59"/>
        <v>406.431545431152</v>
      </c>
      <c r="W207" s="7">
        <f t="shared" si="60"/>
        <v>429.043760641923</v>
      </c>
      <c r="X207" s="7">
        <f t="shared" si="61"/>
        <v>590.986590090942</v>
      </c>
      <c r="Y207" s="7">
        <f t="shared" si="62"/>
        <v>-418.533101058776</v>
      </c>
    </row>
    <row r="208" ht="14.25">
      <c r="A208">
        <v>-48</v>
      </c>
      <c r="B208">
        <f t="shared" si="44"/>
        <v>-14.4</v>
      </c>
      <c r="E208">
        <f t="shared" si="45"/>
        <v>-9.36</v>
      </c>
      <c r="F208">
        <f t="shared" si="46"/>
        <v>-9.36</v>
      </c>
      <c r="G208">
        <f t="shared" si="47"/>
        <v>212.346201361866</v>
      </c>
      <c r="H208">
        <f t="shared" si="48"/>
        <v>212.346201361866</v>
      </c>
      <c r="I208">
        <f t="shared" si="49"/>
        <v>-69.2596999284454</v>
      </c>
      <c r="J208">
        <f t="shared" si="50"/>
        <v>223.355804193651</v>
      </c>
      <c r="K208" s="6">
        <f t="shared" si="51"/>
        <v>31.5744</v>
      </c>
      <c r="N208" s="6">
        <f t="shared" si="52"/>
        <v>-86.4</v>
      </c>
      <c r="O208" s="6">
        <f t="shared" si="53"/>
        <v>-140.721768708386</v>
      </c>
      <c r="P208" s="7">
        <f t="shared" si="54"/>
        <v>8.85346325363318</v>
      </c>
      <c r="Q208" s="7"/>
      <c r="R208" s="7">
        <f t="shared" si="55"/>
        <v>263.137073915946</v>
      </c>
      <c r="S208" s="7">
        <f t="shared" si="56"/>
        <v>5.75475111486156</v>
      </c>
      <c r="T208" s="7">
        <f t="shared" si="57"/>
        <v>5.75475111486156</v>
      </c>
      <c r="U208" s="7">
        <f t="shared" si="58"/>
        <v>358.594636515572</v>
      </c>
      <c r="V208" s="7">
        <f t="shared" si="59"/>
        <v>358.594636515572</v>
      </c>
      <c r="W208" s="7">
        <f t="shared" si="60"/>
        <v>427.214337066483</v>
      </c>
      <c r="X208" s="7">
        <f t="shared" si="61"/>
        <v>557.76536566274</v>
      </c>
      <c r="Y208" s="7">
        <f t="shared" si="62"/>
        <v>-388.064282511993</v>
      </c>
    </row>
    <row r="209" ht="14.25">
      <c r="A209">
        <v>-49</v>
      </c>
      <c r="B209">
        <f t="shared" si="44"/>
        <v>-14.7</v>
      </c>
      <c r="E209">
        <f t="shared" si="45"/>
        <v>-9.555</v>
      </c>
      <c r="F209">
        <f t="shared" si="46"/>
        <v>-9.555</v>
      </c>
      <c r="G209">
        <f t="shared" si="47"/>
        <v>209.11161756573</v>
      </c>
      <c r="H209">
        <f t="shared" si="48"/>
        <v>209.11161756573</v>
      </c>
      <c r="I209">
        <f t="shared" si="49"/>
        <v>-69.4546999284454</v>
      </c>
      <c r="J209">
        <f t="shared" si="50"/>
        <v>220.344330408356</v>
      </c>
      <c r="K209" s="6">
        <f t="shared" si="51"/>
        <v>31.2702</v>
      </c>
      <c r="N209" s="6">
        <f t="shared" si="52"/>
        <v>-88.2</v>
      </c>
      <c r="O209" s="6">
        <f t="shared" si="53"/>
        <v>-140.930425011568</v>
      </c>
      <c r="P209" s="7">
        <f t="shared" si="54"/>
        <v>4.4289170300161</v>
      </c>
      <c r="Q209" s="7"/>
      <c r="R209" s="7">
        <f t="shared" si="55"/>
        <v>263.001447318877</v>
      </c>
      <c r="S209" s="7">
        <f t="shared" si="56"/>
        <v>2.87879606951047</v>
      </c>
      <c r="T209" s="7">
        <f t="shared" si="57"/>
        <v>2.87879606951047</v>
      </c>
      <c r="U209" s="7">
        <f t="shared" si="58"/>
        <v>310.753791517948</v>
      </c>
      <c r="V209" s="7">
        <f t="shared" si="59"/>
        <v>310.753791517948</v>
      </c>
      <c r="W209" s="7">
        <f t="shared" si="60"/>
        <v>424.963304518571</v>
      </c>
      <c r="X209" s="7">
        <f t="shared" si="61"/>
        <v>526.461517235708</v>
      </c>
      <c r="Y209" s="7">
        <f t="shared" si="62"/>
        <v>-357.025541647332</v>
      </c>
    </row>
    <row r="210" ht="14.25">
      <c r="A210">
        <v>-50</v>
      </c>
      <c r="B210">
        <f t="shared" si="44"/>
        <v>-15</v>
      </c>
      <c r="E210">
        <f t="shared" si="45"/>
        <v>-9.75</v>
      </c>
      <c r="F210">
        <f t="shared" si="46"/>
        <v>-9.75</v>
      </c>
      <c r="G210">
        <f t="shared" si="47"/>
        <v>205.877033769594</v>
      </c>
      <c r="H210">
        <f t="shared" si="48"/>
        <v>205.877033769594</v>
      </c>
      <c r="I210">
        <f t="shared" si="49"/>
        <v>-69.6496999284454</v>
      </c>
      <c r="J210">
        <f t="shared" si="50"/>
        <v>217.339443575917</v>
      </c>
      <c r="K210" s="6">
        <f t="shared" si="51"/>
        <v>30.966</v>
      </c>
      <c r="N210" s="6">
        <f t="shared" si="52"/>
        <v>-90</v>
      </c>
      <c r="O210" s="6">
        <f t="shared" si="53"/>
        <v>-141</v>
      </c>
      <c r="P210" s="7">
        <f t="shared" si="54"/>
        <v>8.63375993398884e-15</v>
      </c>
      <c r="Q210" s="7"/>
      <c r="R210" s="7">
        <f t="shared" si="55"/>
        <v>262.956223576397</v>
      </c>
      <c r="S210" s="7">
        <f t="shared" si="56"/>
        <v>5.61194395709275e-15</v>
      </c>
      <c r="T210" s="7">
        <f t="shared" si="57"/>
        <v>5.61194395709275e-15</v>
      </c>
      <c r="U210" s="7">
        <f t="shared" si="58"/>
        <v>262.956223576397</v>
      </c>
      <c r="V210" s="7">
        <f t="shared" si="59"/>
        <v>262.956223576397</v>
      </c>
      <c r="W210" s="7">
        <f t="shared" si="60"/>
        <v>422.29288449554</v>
      </c>
      <c r="X210" s="7">
        <f t="shared" si="61"/>
        <v>497.470859260242</v>
      </c>
      <c r="Y210" s="7">
        <f t="shared" si="62"/>
        <v>-325.5408</v>
      </c>
    </row>
    <row r="211" ht="14.25">
      <c r="A211">
        <v>-51</v>
      </c>
      <c r="B211">
        <f t="shared" si="44"/>
        <v>-15.3</v>
      </c>
      <c r="E211">
        <f t="shared" si="45"/>
        <v>-9.945</v>
      </c>
      <c r="F211">
        <f t="shared" si="46"/>
        <v>-9.945</v>
      </c>
      <c r="G211">
        <f t="shared" si="47"/>
        <v>202.642449973458</v>
      </c>
      <c r="H211">
        <f t="shared" si="48"/>
        <v>202.642449973458</v>
      </c>
      <c r="I211">
        <f t="shared" si="49"/>
        <v>-69.8446999284454</v>
      </c>
      <c r="J211">
        <f t="shared" si="50"/>
        <v>214.341420727166</v>
      </c>
      <c r="K211" s="6">
        <f t="shared" si="51"/>
        <v>30.6618</v>
      </c>
      <c r="N211" s="6">
        <f t="shared" si="52"/>
        <v>-91.8</v>
      </c>
      <c r="O211" s="6">
        <f t="shared" si="53"/>
        <v>-140.930425011568</v>
      </c>
      <c r="P211" s="7">
        <f t="shared" si="54"/>
        <v>-4.42891703001609</v>
      </c>
      <c r="Q211" s="7"/>
      <c r="R211" s="7">
        <f t="shared" si="55"/>
        <v>263.001447318877</v>
      </c>
      <c r="S211" s="7">
        <f t="shared" si="56"/>
        <v>-2.87879606951046</v>
      </c>
      <c r="T211" s="7">
        <f t="shared" si="57"/>
        <v>-2.87879606951046</v>
      </c>
      <c r="U211" s="7">
        <f t="shared" si="58"/>
        <v>215.249103119807</v>
      </c>
      <c r="V211" s="7">
        <f t="shared" si="59"/>
        <v>215.249103119807</v>
      </c>
      <c r="W211" s="7">
        <f t="shared" si="60"/>
        <v>419.20571237955</v>
      </c>
      <c r="X211" s="7">
        <f t="shared" si="61"/>
        <v>471.23837458926</v>
      </c>
      <c r="Y211" s="7">
        <f t="shared" si="62"/>
        <v>-293.734788886085</v>
      </c>
    </row>
    <row r="212" ht="14.25">
      <c r="A212">
        <v>-52</v>
      </c>
      <c r="B212">
        <f t="shared" si="44"/>
        <v>-15.6</v>
      </c>
      <c r="E212">
        <f t="shared" si="45"/>
        <v>-10.14</v>
      </c>
      <c r="F212">
        <f t="shared" si="46"/>
        <v>-10.14</v>
      </c>
      <c r="G212">
        <f t="shared" si="47"/>
        <v>199.407866177322</v>
      </c>
      <c r="H212">
        <f t="shared" si="48"/>
        <v>199.407866177322</v>
      </c>
      <c r="I212">
        <f t="shared" si="49"/>
        <v>-70.0396999284454</v>
      </c>
      <c r="J212">
        <f t="shared" si="50"/>
        <v>211.350553960616</v>
      </c>
      <c r="K212" s="6">
        <f t="shared" si="51"/>
        <v>30.3576</v>
      </c>
      <c r="N212" s="6">
        <f t="shared" si="52"/>
        <v>-93.6</v>
      </c>
      <c r="O212" s="6">
        <f t="shared" si="53"/>
        <v>-140.721768708386</v>
      </c>
      <c r="P212" s="7">
        <f t="shared" si="54"/>
        <v>-8.85346325363319</v>
      </c>
      <c r="Q212" s="7"/>
      <c r="R212" s="7">
        <f t="shared" si="55"/>
        <v>263.137073915946</v>
      </c>
      <c r="S212" s="7">
        <f t="shared" si="56"/>
        <v>-5.75475111486157</v>
      </c>
      <c r="T212" s="7">
        <f t="shared" si="57"/>
        <v>-5.75475111486157</v>
      </c>
      <c r="U212" s="7">
        <f t="shared" si="58"/>
        <v>167.679511316319</v>
      </c>
      <c r="V212" s="7">
        <f t="shared" si="59"/>
        <v>167.679511316319</v>
      </c>
      <c r="W212" s="7">
        <f t="shared" si="60"/>
        <v>415.70483483676</v>
      </c>
      <c r="X212" s="7">
        <f t="shared" si="61"/>
        <v>448.24873476892</v>
      </c>
      <c r="Y212" s="7">
        <f t="shared" si="62"/>
        <v>-261.732556675852</v>
      </c>
    </row>
    <row r="213" ht="14.25">
      <c r="A213">
        <v>-53</v>
      </c>
      <c r="B213">
        <f t="shared" si="44"/>
        <v>-15.9</v>
      </c>
      <c r="E213">
        <f t="shared" si="45"/>
        <v>-10.335</v>
      </c>
      <c r="F213">
        <f t="shared" si="46"/>
        <v>-10.335</v>
      </c>
      <c r="G213">
        <f t="shared" si="47"/>
        <v>196.173282381186</v>
      </c>
      <c r="H213">
        <f t="shared" si="48"/>
        <v>196.173282381186</v>
      </c>
      <c r="I213">
        <f t="shared" si="49"/>
        <v>-70.2346999284454</v>
      </c>
      <c r="J213">
        <f t="shared" si="50"/>
        <v>208.367151428068</v>
      </c>
      <c r="K213" s="6">
        <f t="shared" si="51"/>
        <v>30.0534</v>
      </c>
      <c r="N213" s="6">
        <f t="shared" si="52"/>
        <v>-95.4</v>
      </c>
      <c r="O213" s="6">
        <f t="shared" si="53"/>
        <v>-140.374237009034</v>
      </c>
      <c r="P213" s="7">
        <f t="shared" si="54"/>
        <v>-13.2692721779105</v>
      </c>
      <c r="Q213" s="7"/>
      <c r="R213" s="7">
        <f t="shared" si="55"/>
        <v>263.362969520524</v>
      </c>
      <c r="S213" s="7">
        <f t="shared" si="56"/>
        <v>-8.62502691564184</v>
      </c>
      <c r="T213" s="7">
        <f t="shared" si="57"/>
        <v>-8.62502691564184</v>
      </c>
      <c r="U213" s="7">
        <f t="shared" si="58"/>
        <v>120.294393609897</v>
      </c>
      <c r="V213" s="7">
        <f t="shared" si="59"/>
        <v>120.294393609897</v>
      </c>
      <c r="W213" s="7">
        <f t="shared" si="60"/>
        <v>411.793706810639</v>
      </c>
      <c r="X213" s="7">
        <f t="shared" si="61"/>
        <v>429.004426670425</v>
      </c>
      <c r="Y213" s="7">
        <f t="shared" si="62"/>
        <v>-229.658975754141</v>
      </c>
    </row>
    <row r="214" ht="14.25">
      <c r="A214">
        <v>-54</v>
      </c>
      <c r="B214">
        <f t="shared" si="44"/>
        <v>-16.2</v>
      </c>
      <c r="E214">
        <f t="shared" si="45"/>
        <v>-10.53</v>
      </c>
      <c r="F214">
        <f t="shared" si="46"/>
        <v>-10.53</v>
      </c>
      <c r="G214">
        <f t="shared" si="47"/>
        <v>192.93869858505</v>
      </c>
      <c r="H214">
        <f t="shared" si="48"/>
        <v>192.93869858505</v>
      </c>
      <c r="I214">
        <f t="shared" si="49"/>
        <v>-70.4296999284454</v>
      </c>
      <c r="J214">
        <f t="shared" si="50"/>
        <v>205.391538393634</v>
      </c>
      <c r="K214" s="6">
        <f t="shared" si="51"/>
        <v>29.7492</v>
      </c>
      <c r="N214" s="6">
        <f t="shared" si="52"/>
        <v>-97.2</v>
      </c>
      <c r="O214" s="6">
        <f t="shared" si="53"/>
        <v>-139.888172885341</v>
      </c>
      <c r="P214" s="7">
        <f t="shared" si="54"/>
        <v>-17.6719859325669</v>
      </c>
      <c r="Q214" s="7"/>
      <c r="R214" s="7">
        <f t="shared" si="55"/>
        <v>263.678911200925</v>
      </c>
      <c r="S214" s="7">
        <f t="shared" si="56"/>
        <v>-11.4867908561685</v>
      </c>
      <c r="T214" s="7">
        <f t="shared" si="57"/>
        <v>-11.4867908561685</v>
      </c>
      <c r="U214" s="7">
        <f t="shared" si="58"/>
        <v>73.1405133908409</v>
      </c>
      <c r="V214" s="7">
        <f t="shared" si="59"/>
        <v>73.1405133908409</v>
      </c>
      <c r="W214" s="7">
        <f t="shared" si="60"/>
        <v>407.476188112353</v>
      </c>
      <c r="X214" s="7">
        <f t="shared" si="61"/>
        <v>413.988379761618</v>
      </c>
      <c r="Y214" s="7">
        <f t="shared" si="62"/>
        <v>-197.638251113211</v>
      </c>
    </row>
    <row r="215" ht="14.25">
      <c r="A215">
        <v>-55</v>
      </c>
      <c r="B215">
        <f t="shared" si="44"/>
        <v>-16.5</v>
      </c>
      <c r="E215">
        <f t="shared" si="45"/>
        <v>-10.725</v>
      </c>
      <c r="F215">
        <f t="shared" si="46"/>
        <v>-10.725</v>
      </c>
      <c r="G215">
        <f t="shared" si="47"/>
        <v>189.704114788914</v>
      </c>
      <c r="H215">
        <f t="shared" si="48"/>
        <v>189.704114788914</v>
      </c>
      <c r="I215">
        <f t="shared" si="49"/>
        <v>-70.6246999284454</v>
      </c>
      <c r="J215">
        <f t="shared" si="50"/>
        <v>202.424058372093</v>
      </c>
      <c r="K215" s="6">
        <f t="shared" si="51"/>
        <v>29.445</v>
      </c>
      <c r="N215" s="6">
        <f t="shared" si="52"/>
        <v>-99</v>
      </c>
      <c r="O215" s="6">
        <f t="shared" si="53"/>
        <v>-139.264056023914</v>
      </c>
      <c r="P215" s="7">
        <f t="shared" si="54"/>
        <v>-22.0572595706726</v>
      </c>
      <c r="Q215" s="7"/>
      <c r="R215" s="7">
        <f t="shared" si="55"/>
        <v>264.084587160852</v>
      </c>
      <c r="S215" s="7">
        <f t="shared" si="56"/>
        <v>-14.3372187209372</v>
      </c>
      <c r="T215" s="7">
        <f t="shared" si="57"/>
        <v>-14.3372187209372</v>
      </c>
      <c r="U215" s="7">
        <f t="shared" si="58"/>
        <v>26.2644058459712</v>
      </c>
      <c r="V215" s="7">
        <f t="shared" si="59"/>
        <v>26.2644058459712</v>
      </c>
      <c r="W215" s="7">
        <f t="shared" si="60"/>
        <v>402.756539611597</v>
      </c>
      <c r="X215" s="7">
        <f t="shared" si="61"/>
        <v>403.612003308065</v>
      </c>
      <c r="Y215" s="7">
        <f t="shared" si="62"/>
        <v>-165.793432515996</v>
      </c>
    </row>
    <row r="216" ht="14.25">
      <c r="A216">
        <v>-56</v>
      </c>
      <c r="B216">
        <f t="shared" si="44"/>
        <v>-16.8</v>
      </c>
      <c r="E216">
        <f t="shared" si="45"/>
        <v>-10.92</v>
      </c>
      <c r="F216">
        <f t="shared" si="46"/>
        <v>-10.92</v>
      </c>
      <c r="G216">
        <f t="shared" si="47"/>
        <v>186.469530992778</v>
      </c>
      <c r="H216">
        <f t="shared" si="48"/>
        <v>186.469530992778</v>
      </c>
      <c r="I216">
        <f t="shared" si="49"/>
        <v>-70.8196999284454</v>
      </c>
      <c r="J216">
        <f t="shared" si="50"/>
        <v>199.465074352934</v>
      </c>
      <c r="K216" s="6">
        <f t="shared" si="51"/>
        <v>29.1408</v>
      </c>
      <c r="N216" s="6">
        <f t="shared" si="52"/>
        <v>-100.8</v>
      </c>
      <c r="O216" s="6">
        <f t="shared" si="53"/>
        <v>-138.502502352745</v>
      </c>
      <c r="P216" s="7">
        <f t="shared" si="54"/>
        <v>-26.4207653565871</v>
      </c>
      <c r="Q216" s="7"/>
      <c r="R216" s="7">
        <f t="shared" si="55"/>
        <v>264.579597047112</v>
      </c>
      <c r="S216" s="7">
        <f t="shared" si="56"/>
        <v>-17.1734974817816</v>
      </c>
      <c r="T216" s="7">
        <f t="shared" si="57"/>
        <v>-17.1734974817816</v>
      </c>
      <c r="U216" s="7">
        <f t="shared" si="58"/>
        <v>-20.2876679659859</v>
      </c>
      <c r="V216" s="7">
        <f t="shared" si="59"/>
        <v>-20.2876679659859</v>
      </c>
      <c r="W216" s="7">
        <f t="shared" si="60"/>
        <v>397.63941903163</v>
      </c>
      <c r="X216" s="7">
        <f t="shared" si="61"/>
        <v>398.156623754158</v>
      </c>
      <c r="Y216" s="7">
        <f t="shared" si="62"/>
        <v>-134.245932152743</v>
      </c>
    </row>
    <row r="217" ht="14.25">
      <c r="A217">
        <v>-57</v>
      </c>
      <c r="B217">
        <f t="shared" si="44"/>
        <v>-17.1</v>
      </c>
      <c r="E217">
        <f t="shared" si="45"/>
        <v>-11.115</v>
      </c>
      <c r="F217">
        <f t="shared" si="46"/>
        <v>-11.115</v>
      </c>
      <c r="G217">
        <f t="shared" si="47"/>
        <v>183.234947196642</v>
      </c>
      <c r="H217">
        <f t="shared" si="48"/>
        <v>183.234947196642</v>
      </c>
      <c r="I217">
        <f t="shared" si="49"/>
        <v>-71.0146999284454</v>
      </c>
      <c r="J217">
        <f t="shared" si="50"/>
        <v>196.514970116994</v>
      </c>
      <c r="K217" s="6">
        <f t="shared" si="51"/>
        <v>28.8366</v>
      </c>
      <c r="N217" s="6">
        <f t="shared" si="52"/>
        <v>-102.6</v>
      </c>
      <c r="O217" s="6">
        <f t="shared" si="53"/>
        <v>-137.604263433363</v>
      </c>
      <c r="P217" s="7">
        <f t="shared" si="54"/>
        <v>-30.7581970369125</v>
      </c>
      <c r="Q217" s="7"/>
      <c r="R217" s="7">
        <f t="shared" si="55"/>
        <v>265.16345234471</v>
      </c>
      <c r="S217" s="7">
        <f t="shared" si="56"/>
        <v>-19.9928280739931</v>
      </c>
      <c r="T217" s="7">
        <f t="shared" si="57"/>
        <v>-19.9928280739931</v>
      </c>
      <c r="U217" s="7">
        <f t="shared" si="58"/>
        <v>-66.4697667684794</v>
      </c>
      <c r="V217" s="7">
        <f t="shared" si="59"/>
        <v>-66.4697667684794</v>
      </c>
      <c r="W217" s="7">
        <f t="shared" si="60"/>
        <v>392.129876352668</v>
      </c>
      <c r="X217" s="7">
        <f t="shared" si="61"/>
        <v>397.723609838056</v>
      </c>
      <c r="Y217" s="7">
        <f t="shared" si="62"/>
        <v>-103.115049691358</v>
      </c>
    </row>
    <row r="218" ht="14.25">
      <c r="A218">
        <v>-58</v>
      </c>
      <c r="B218">
        <f t="shared" si="44"/>
        <v>-17.4</v>
      </c>
      <c r="E218">
        <f t="shared" si="45"/>
        <v>-11.31</v>
      </c>
      <c r="F218">
        <f t="shared" si="46"/>
        <v>-11.31</v>
      </c>
      <c r="G218">
        <f t="shared" si="47"/>
        <v>180.000363400506</v>
      </c>
      <c r="H218">
        <f t="shared" si="48"/>
        <v>180.000363400506</v>
      </c>
      <c r="I218">
        <f t="shared" si="49"/>
        <v>-71.2096999284454</v>
      </c>
      <c r="J218">
        <f t="shared" si="50"/>
        <v>193.57415165309</v>
      </c>
      <c r="K218" s="6">
        <f t="shared" si="51"/>
        <v>28.5324</v>
      </c>
      <c r="N218" s="6">
        <f t="shared" si="52"/>
        <v>-104.4</v>
      </c>
      <c r="O218" s="6">
        <f t="shared" si="53"/>
        <v>-136.570225719137</v>
      </c>
      <c r="P218" s="7">
        <f t="shared" si="54"/>
        <v>-35.0652740902445</v>
      </c>
      <c r="Q218" s="7"/>
      <c r="R218" s="7">
        <f t="shared" si="55"/>
        <v>265.835576858958</v>
      </c>
      <c r="S218" s="7">
        <f t="shared" si="56"/>
        <v>-22.792428158659</v>
      </c>
      <c r="T218" s="7">
        <f t="shared" si="57"/>
        <v>-22.792428158659</v>
      </c>
      <c r="U218" s="7">
        <f t="shared" si="58"/>
        <v>-112.236314405623</v>
      </c>
      <c r="V218" s="7">
        <f t="shared" si="59"/>
        <v>-112.236314405623</v>
      </c>
      <c r="W218" s="7">
        <f t="shared" si="60"/>
        <v>386.233348828159</v>
      </c>
      <c r="X218" s="7">
        <f t="shared" si="61"/>
        <v>402.210380296646</v>
      </c>
      <c r="Y218" s="7">
        <f t="shared" si="62"/>
        <v>-72.5175065917527</v>
      </c>
    </row>
    <row r="219" ht="14.25">
      <c r="A219">
        <v>-59</v>
      </c>
      <c r="B219">
        <f t="shared" si="44"/>
        <v>-17.7</v>
      </c>
      <c r="E219">
        <f t="shared" si="45"/>
        <v>-11.505</v>
      </c>
      <c r="F219">
        <f t="shared" si="46"/>
        <v>-11.505</v>
      </c>
      <c r="G219">
        <f t="shared" si="47"/>
        <v>176.76577960437</v>
      </c>
      <c r="H219">
        <f t="shared" si="48"/>
        <v>176.76577960437</v>
      </c>
      <c r="I219">
        <f t="shared" si="49"/>
        <v>-71.4046999284454</v>
      </c>
      <c r="J219">
        <f t="shared" si="50"/>
        <v>190.643048682641</v>
      </c>
      <c r="K219" s="6">
        <f t="shared" si="51"/>
        <v>28.2282</v>
      </c>
      <c r="N219" s="6">
        <f t="shared" si="52"/>
        <v>-106.2</v>
      </c>
      <c r="O219" s="6">
        <f t="shared" si="53"/>
        <v>-135.401409680449</v>
      </c>
      <c r="P219" s="7">
        <f t="shared" si="54"/>
        <v>-39.3377459515313</v>
      </c>
      <c r="Q219" s="7"/>
      <c r="R219" s="7">
        <f t="shared" si="55"/>
        <v>266.595307284105</v>
      </c>
      <c r="S219" s="7">
        <f t="shared" si="56"/>
        <v>-25.5695348684954</v>
      </c>
      <c r="T219" s="7">
        <f t="shared" si="57"/>
        <v>-25.5695348684954</v>
      </c>
      <c r="U219" s="7">
        <f t="shared" si="58"/>
        <v>-157.542144820361</v>
      </c>
      <c r="V219" s="7">
        <f t="shared" si="59"/>
        <v>-157.542144820361</v>
      </c>
      <c r="W219" s="7">
        <f t="shared" si="60"/>
        <v>379.955655618874</v>
      </c>
      <c r="X219" s="7">
        <f t="shared" si="61"/>
        <v>411.322048559724</v>
      </c>
      <c r="Y219" s="7">
        <f t="shared" si="62"/>
        <v>-42.5669915169428</v>
      </c>
    </row>
    <row r="220" ht="14.25">
      <c r="A220">
        <v>-60</v>
      </c>
      <c r="B220">
        <f t="shared" si="44"/>
        <v>-18</v>
      </c>
      <c r="E220">
        <f t="shared" si="45"/>
        <v>-11.7</v>
      </c>
      <c r="F220">
        <f t="shared" si="46"/>
        <v>-11.7</v>
      </c>
      <c r="G220">
        <f t="shared" si="47"/>
        <v>173.531195808234</v>
      </c>
      <c r="H220">
        <f t="shared" si="48"/>
        <v>173.531195808234</v>
      </c>
      <c r="I220">
        <f t="shared" si="49"/>
        <v>-71.5996999284454</v>
      </c>
      <c r="J220">
        <f t="shared" si="50"/>
        <v>187.722116300874</v>
      </c>
      <c r="K220" s="6">
        <f t="shared" si="51"/>
        <v>27.924</v>
      </c>
      <c r="N220" s="6">
        <f t="shared" si="52"/>
        <v>-108</v>
      </c>
      <c r="O220" s="6">
        <f t="shared" si="53"/>
        <v>-134.098968797617</v>
      </c>
      <c r="P220" s="7">
        <f t="shared" si="54"/>
        <v>-43.5713962068676</v>
      </c>
      <c r="Q220" s="7"/>
      <c r="R220" s="7">
        <f t="shared" si="55"/>
        <v>267.441893857946</v>
      </c>
      <c r="S220" s="7">
        <f t="shared" si="56"/>
        <v>-28.3214075344639</v>
      </c>
      <c r="T220" s="7">
        <f t="shared" si="57"/>
        <v>-28.3214075344639</v>
      </c>
      <c r="U220" s="7">
        <f t="shared" si="58"/>
        <v>-202.342546627913</v>
      </c>
      <c r="V220" s="7">
        <f t="shared" si="59"/>
        <v>-202.342546627913</v>
      </c>
      <c r="W220" s="7">
        <f t="shared" si="60"/>
        <v>373.302992050096</v>
      </c>
      <c r="X220" s="7">
        <f t="shared" si="61"/>
        <v>424.614684213138</v>
      </c>
      <c r="Y220" s="7">
        <f t="shared" si="62"/>
        <v>-13.3737186289817</v>
      </c>
    </row>
    <row r="221" ht="14.25">
      <c r="A221">
        <v>-61</v>
      </c>
      <c r="B221">
        <f t="shared" si="44"/>
        <v>-18.3</v>
      </c>
      <c r="E221">
        <f t="shared" si="45"/>
        <v>-11.895</v>
      </c>
      <c r="F221">
        <f t="shared" si="46"/>
        <v>-11.895</v>
      </c>
      <c r="G221">
        <f t="shared" si="47"/>
        <v>170.296612012098</v>
      </c>
      <c r="H221">
        <f t="shared" si="48"/>
        <v>170.296612012098</v>
      </c>
      <c r="I221">
        <f t="shared" si="49"/>
        <v>-71.7946999284454</v>
      </c>
      <c r="J221">
        <f t="shared" si="50"/>
        <v>184.811836743793</v>
      </c>
      <c r="K221" s="6">
        <f t="shared" si="51"/>
        <v>27.6198</v>
      </c>
      <c r="N221" s="6">
        <f t="shared" si="52"/>
        <v>-109.8</v>
      </c>
      <c r="O221" s="6">
        <f t="shared" si="53"/>
        <v>-132.664188422546</v>
      </c>
      <c r="P221" s="7">
        <f t="shared" si="54"/>
        <v>-47.7620467545861</v>
      </c>
      <c r="Q221" s="7"/>
      <c r="R221" s="7">
        <f t="shared" si="55"/>
        <v>268.374501101742</v>
      </c>
      <c r="S221" s="7">
        <f t="shared" si="56"/>
        <v>-31.045330390481</v>
      </c>
      <c r="T221" s="7">
        <f t="shared" si="57"/>
        <v>-31.045330390481</v>
      </c>
      <c r="U221" s="7">
        <f t="shared" si="58"/>
        <v>-246.593307240513</v>
      </c>
      <c r="V221" s="7">
        <f t="shared" si="59"/>
        <v>-246.593307240513</v>
      </c>
      <c r="W221" s="7">
        <f t="shared" si="60"/>
        <v>366.281923497581</v>
      </c>
      <c r="X221" s="7">
        <f t="shared" si="61"/>
        <v>441.554873891005</v>
      </c>
      <c r="Y221" s="7">
        <f t="shared" si="62"/>
        <v>14.9559994939365</v>
      </c>
    </row>
    <row r="222" ht="14.25">
      <c r="A222">
        <v>-62</v>
      </c>
      <c r="B222">
        <f t="shared" si="44"/>
        <v>-18.6</v>
      </c>
      <c r="E222">
        <f t="shared" si="45"/>
        <v>-12.09</v>
      </c>
      <c r="F222">
        <f t="shared" si="46"/>
        <v>-12.09</v>
      </c>
      <c r="G222">
        <f t="shared" si="47"/>
        <v>167.062028215962</v>
      </c>
      <c r="H222">
        <f t="shared" si="48"/>
        <v>167.062028215962</v>
      </c>
      <c r="I222">
        <f t="shared" si="49"/>
        <v>-71.9896999284454</v>
      </c>
      <c r="J222">
        <f t="shared" si="50"/>
        <v>181.912721290784</v>
      </c>
      <c r="K222" s="6">
        <f t="shared" si="51"/>
        <v>27.3156</v>
      </c>
      <c r="N222" s="6">
        <f t="shared" si="52"/>
        <v>-111.6</v>
      </c>
      <c r="O222" s="6">
        <f t="shared" si="53"/>
        <v>-131.098484510243</v>
      </c>
      <c r="P222" s="7">
        <f t="shared" si="54"/>
        <v>-51.9055619285396</v>
      </c>
      <c r="Q222" s="7"/>
      <c r="R222" s="7">
        <f t="shared" si="55"/>
        <v>269.392208644738</v>
      </c>
      <c r="S222" s="7">
        <f t="shared" si="56"/>
        <v>-33.7386152535507</v>
      </c>
      <c r="T222" s="7">
        <f t="shared" si="57"/>
        <v>-33.7386152535507</v>
      </c>
      <c r="U222" s="7">
        <f t="shared" si="58"/>
        <v>-290.250756499897</v>
      </c>
      <c r="V222" s="7">
        <f t="shared" si="59"/>
        <v>-290.250756499897</v>
      </c>
      <c r="W222" s="7">
        <f t="shared" si="60"/>
        <v>358.899378908326</v>
      </c>
      <c r="X222" s="7">
        <f t="shared" si="61"/>
        <v>461.578017056211</v>
      </c>
      <c r="Y222" s="7">
        <f t="shared" si="62"/>
        <v>42.3201626414953</v>
      </c>
    </row>
    <row r="223" ht="14.25">
      <c r="A223">
        <v>-63</v>
      </c>
      <c r="B223">
        <f t="shared" si="44"/>
        <v>-18.9</v>
      </c>
      <c r="E223">
        <f t="shared" si="45"/>
        <v>-12.285</v>
      </c>
      <c r="F223">
        <f t="shared" si="46"/>
        <v>-12.285</v>
      </c>
      <c r="G223">
        <f t="shared" si="47"/>
        <v>163.827444419825</v>
      </c>
      <c r="H223">
        <f t="shared" si="48"/>
        <v>163.827444419825</v>
      </c>
      <c r="I223">
        <f t="shared" si="49"/>
        <v>-72.1846999284454</v>
      </c>
      <c r="J223">
        <f t="shared" si="50"/>
        <v>179.025312313345</v>
      </c>
      <c r="K223" s="6">
        <f t="shared" si="51"/>
        <v>27.0114</v>
      </c>
      <c r="N223" s="6">
        <f t="shared" si="52"/>
        <v>-113.4</v>
      </c>
      <c r="O223" s="6">
        <f t="shared" si="53"/>
        <v>-129.403402221441</v>
      </c>
      <c r="P223" s="7">
        <f t="shared" si="54"/>
        <v>-55.997852579504</v>
      </c>
      <c r="Q223" s="7"/>
      <c r="R223" s="7">
        <f t="shared" si="55"/>
        <v>270.49401213246</v>
      </c>
      <c r="S223" s="7">
        <f t="shared" si="56"/>
        <v>-36.3986041766776</v>
      </c>
      <c r="T223" s="7">
        <f t="shared" si="57"/>
        <v>-36.3986041766776</v>
      </c>
      <c r="U223" s="7">
        <f t="shared" si="58"/>
        <v>-333.271809774471</v>
      </c>
      <c r="V223" s="7">
        <f t="shared" si="59"/>
        <v>-333.271809774471</v>
      </c>
      <c r="W223" s="7">
        <f t="shared" si="60"/>
        <v>351.162643962535</v>
      </c>
      <c r="X223" s="7">
        <f t="shared" si="61"/>
        <v>484.133557714304</v>
      </c>
      <c r="Y223" s="7">
        <f t="shared" si="62"/>
        <v>68.6214758438809</v>
      </c>
    </row>
    <row r="224" ht="14.25">
      <c r="A224">
        <v>-64</v>
      </c>
      <c r="B224">
        <f t="shared" si="44"/>
        <v>-19.2</v>
      </c>
      <c r="E224">
        <f t="shared" si="45"/>
        <v>-12.48</v>
      </c>
      <c r="F224">
        <f t="shared" si="46"/>
        <v>-12.48</v>
      </c>
      <c r="G224">
        <f t="shared" si="47"/>
        <v>160.592860623689</v>
      </c>
      <c r="H224">
        <f t="shared" si="48"/>
        <v>160.592860623689</v>
      </c>
      <c r="I224">
        <f t="shared" si="49"/>
        <v>-72.3796999284454</v>
      </c>
      <c r="J224">
        <f t="shared" si="50"/>
        <v>176.150185481116</v>
      </c>
      <c r="K224" s="6">
        <f t="shared" si="51"/>
        <v>26.7072</v>
      </c>
      <c r="N224" s="6">
        <f t="shared" si="52"/>
        <v>-115.2</v>
      </c>
      <c r="O224" s="6">
        <f t="shared" si="53"/>
        <v>-127.580614397709</v>
      </c>
      <c r="P224" s="7">
        <f t="shared" si="54"/>
        <v>-60.0348801106753</v>
      </c>
      <c r="Q224" s="7"/>
      <c r="R224" s="7">
        <f t="shared" si="55"/>
        <v>271.678824217886</v>
      </c>
      <c r="S224" s="7">
        <f t="shared" si="56"/>
        <v>-39.0226720719389</v>
      </c>
      <c r="T224" s="7">
        <f t="shared" si="57"/>
        <v>-39.0226720719389</v>
      </c>
      <c r="U224" s="7">
        <f t="shared" si="58"/>
        <v>-375.61401047865</v>
      </c>
      <c r="V224" s="7">
        <f t="shared" si="59"/>
        <v>-375.61401047865</v>
      </c>
      <c r="W224" s="7">
        <f t="shared" si="60"/>
        <v>343.079353883534</v>
      </c>
      <c r="X224" s="7">
        <f t="shared" si="61"/>
        <v>508.713404510829</v>
      </c>
      <c r="Y224" s="7">
        <f t="shared" si="62"/>
        <v>93.7677227920756</v>
      </c>
    </row>
    <row r="225" ht="14.25">
      <c r="A225">
        <v>-65</v>
      </c>
      <c r="B225">
        <f t="shared" si="44"/>
        <v>-19.5</v>
      </c>
      <c r="E225">
        <f t="shared" si="45"/>
        <v>-12.675</v>
      </c>
      <c r="F225">
        <f t="shared" si="46"/>
        <v>-12.675</v>
      </c>
      <c r="G225">
        <f t="shared" si="47"/>
        <v>157.358276827553</v>
      </c>
      <c r="H225">
        <f t="shared" si="48"/>
        <v>157.358276827553</v>
      </c>
      <c r="I225">
        <f t="shared" si="49"/>
        <v>-72.5746999284454</v>
      </c>
      <c r="J225">
        <f t="shared" si="50"/>
        <v>173.287952137016</v>
      </c>
      <c r="K225" s="6">
        <f t="shared" si="51"/>
        <v>26.403</v>
      </c>
      <c r="N225" s="6">
        <f t="shared" si="52"/>
        <v>-117</v>
      </c>
      <c r="O225" s="6">
        <f t="shared" si="53"/>
        <v>-125.63191991056</v>
      </c>
      <c r="P225" s="7">
        <f t="shared" si="54"/>
        <v>-64.0126604632761</v>
      </c>
      <c r="Q225" s="7"/>
      <c r="R225" s="7">
        <f t="shared" si="55"/>
        <v>272.945475634533</v>
      </c>
      <c r="S225" s="7">
        <f t="shared" si="56"/>
        <v>-41.6082293011295</v>
      </c>
      <c r="T225" s="7">
        <f t="shared" si="57"/>
        <v>-41.6082293011295</v>
      </c>
      <c r="U225" s="7">
        <f t="shared" si="58"/>
        <v>-417.235571972373</v>
      </c>
      <c r="V225" s="7">
        <f t="shared" si="59"/>
        <v>-417.235571972373</v>
      </c>
      <c r="W225" s="7">
        <f t="shared" si="60"/>
        <v>334.657485902721</v>
      </c>
      <c r="X225" s="7">
        <f t="shared" si="61"/>
        <v>534.865548890413</v>
      </c>
      <c r="Y225" s="7">
        <f t="shared" si="62"/>
        <v>117.672118342516</v>
      </c>
    </row>
    <row r="226" ht="14.25">
      <c r="A226">
        <v>-66</v>
      </c>
      <c r="B226">
        <f t="shared" si="44"/>
        <v>-19.8</v>
      </c>
      <c r="E226">
        <f t="shared" si="45"/>
        <v>-12.87</v>
      </c>
      <c r="F226">
        <f t="shared" si="46"/>
        <v>-12.87</v>
      </c>
      <c r="G226">
        <f t="shared" si="47"/>
        <v>154.123693031417</v>
      </c>
      <c r="H226">
        <f t="shared" si="48"/>
        <v>154.123693031417</v>
      </c>
      <c r="I226">
        <f t="shared" si="49"/>
        <v>-72.7696999284454</v>
      </c>
      <c r="J226">
        <f t="shared" si="50"/>
        <v>170.439261853948</v>
      </c>
      <c r="K226" s="6">
        <f t="shared" si="51"/>
        <v>26.0988</v>
      </c>
      <c r="N226" s="6">
        <f t="shared" si="52"/>
        <v>-118.8</v>
      </c>
      <c r="O226" s="6">
        <f t="shared" si="53"/>
        <v>-123.559241886185</v>
      </c>
      <c r="P226" s="7">
        <f t="shared" si="54"/>
        <v>-67.9272680483419</v>
      </c>
      <c r="Q226" s="7"/>
      <c r="R226" s="7">
        <f t="shared" si="55"/>
        <v>274.292716350377</v>
      </c>
      <c r="S226" s="7">
        <f t="shared" si="56"/>
        <v>-44.1527242314222</v>
      </c>
      <c r="T226" s="7">
        <f t="shared" si="57"/>
        <v>-44.1527242314222</v>
      </c>
      <c r="U226" s="7">
        <f t="shared" si="58"/>
        <v>-458.095418799479</v>
      </c>
      <c r="V226" s="7">
        <f t="shared" si="59"/>
        <v>-458.095418799479</v>
      </c>
      <c r="W226" s="7">
        <f t="shared" si="60"/>
        <v>325.905351387011</v>
      </c>
      <c r="X226" s="7">
        <f t="shared" si="61"/>
        <v>562.197216986852</v>
      </c>
      <c r="Y226" s="7">
        <f t="shared" si="62"/>
        <v>140.253638726233</v>
      </c>
    </row>
    <row r="227" ht="14.25">
      <c r="A227">
        <v>-67</v>
      </c>
      <c r="B227">
        <f t="shared" si="44"/>
        <v>-20.1</v>
      </c>
      <c r="E227">
        <f t="shared" si="45"/>
        <v>-13.065</v>
      </c>
      <c r="F227">
        <f t="shared" si="46"/>
        <v>-13.065</v>
      </c>
      <c r="G227">
        <f t="shared" si="47"/>
        <v>150.889109235281</v>
      </c>
      <c r="H227">
        <f t="shared" si="48"/>
        <v>150.889109235281</v>
      </c>
      <c r="I227">
        <f t="shared" si="49"/>
        <v>-72.9646999284454</v>
      </c>
      <c r="J227">
        <f t="shared" si="50"/>
        <v>167.604805186083</v>
      </c>
      <c r="K227" s="6">
        <f t="shared" si="51"/>
        <v>25.7946</v>
      </c>
      <c r="N227" s="6">
        <f t="shared" si="52"/>
        <v>-120.6</v>
      </c>
      <c r="O227" s="6">
        <f t="shared" si="53"/>
        <v>-121.364625807556</v>
      </c>
      <c r="P227" s="7">
        <f t="shared" si="54"/>
        <v>-71.7748396208023</v>
      </c>
      <c r="Q227" s="7"/>
      <c r="R227" s="7">
        <f t="shared" si="55"/>
        <v>275.719216801485</v>
      </c>
      <c r="S227" s="7">
        <f t="shared" si="56"/>
        <v>-46.6536457535215</v>
      </c>
      <c r="T227" s="7">
        <f t="shared" si="57"/>
        <v>-46.6536457535215</v>
      </c>
      <c r="U227" s="7">
        <f t="shared" si="58"/>
        <v>-498.153227224218</v>
      </c>
      <c r="V227" s="7">
        <f t="shared" si="59"/>
        <v>-498.153227224218</v>
      </c>
      <c r="W227" s="7">
        <f t="shared" si="60"/>
        <v>316.831587636512</v>
      </c>
      <c r="X227" s="7">
        <f t="shared" si="61"/>
        <v>590.371825816727</v>
      </c>
      <c r="Y227" s="7">
        <f t="shared" si="62"/>
        <v>161.437328171399</v>
      </c>
    </row>
    <row r="228" ht="14.25">
      <c r="A228">
        <v>-68</v>
      </c>
      <c r="B228">
        <f t="shared" ref="B228:B260" si="63">$B$27*A228/100</f>
        <v>-20.4</v>
      </c>
      <c r="E228">
        <f t="shared" ref="E228:E260" si="64">B228*$B$7</f>
        <v>-13.26</v>
      </c>
      <c r="F228">
        <f t="shared" ref="F228:F260" si="65">E228</f>
        <v>-13.26</v>
      </c>
      <c r="G228">
        <f t="shared" ref="G228:G260" si="66">$D$60+B228*$B$8*$B$14</f>
        <v>147.654525439145</v>
      </c>
      <c r="H228">
        <f t="shared" ref="H228:H260" si="67">G228</f>
        <v>147.654525439145</v>
      </c>
      <c r="I228">
        <f t="shared" ref="I228:I260" si="68">E228-$B$26*$B$14*$B$9</f>
        <v>-73.1596999284454</v>
      </c>
      <c r="J228">
        <f t="shared" ref="J228:J260" si="69">SQRT(I228*I228+H228*H228)</f>
        <v>164.78531662827</v>
      </c>
      <c r="K228" s="6">
        <f t="shared" ref="K228:K260" si="70">1.5*$B$13*($B$26*$B$6+$B$26*B228*($B$8-$B$9))</f>
        <v>25.4904</v>
      </c>
      <c r="N228" s="6">
        <f t="shared" ref="N228:N260" si="71">180*A228/100</f>
        <v>-122.4</v>
      </c>
      <c r="O228" s="6">
        <f t="shared" ref="O228:O260" si="72">$B$31*SIN(N228/180*PI())</f>
        <v>-119.050237495784</v>
      </c>
      <c r="P228" s="7">
        <f t="shared" ref="P228:P260" si="73">$B$31*COS(N228/180*PI())</f>
        <v>-75.5515780920386</v>
      </c>
      <c r="Q228" s="7"/>
      <c r="R228" s="7">
        <f t="shared" ref="R228:R260" si="74">$Q$60+O228*$B$7</f>
        <v>277.223569204137</v>
      </c>
      <c r="S228" s="7">
        <f t="shared" ref="S228:S260" si="75">P228*$B$7</f>
        <v>-49.1085257598251</v>
      </c>
      <c r="T228" s="7">
        <f t="shared" ref="T228:T260" si="76">S228</f>
        <v>-49.1085257598251</v>
      </c>
      <c r="U228" s="7">
        <f t="shared" ref="U228:U260" si="77">R228+P228*$B$8*$B$14</f>
        <v>-537.369465025914</v>
      </c>
      <c r="V228" s="7">
        <f t="shared" ref="V228:V260" si="78">U228</f>
        <v>-537.369465025914</v>
      </c>
      <c r="W228" s="7">
        <f t="shared" ref="W228:W260" si="79">S228-O228*$B$14*$B$9</f>
        <v>307.445149360556</v>
      </c>
      <c r="X228" s="7">
        <f t="shared" ref="X228:X260" si="80">SQRT(W228*W228+V228*V228)</f>
        <v>619.102949280305</v>
      </c>
      <c r="Y228" s="7">
        <f t="shared" ref="Y228:Y260" si="81">1.5*$B$13*(O228*$B$6+O228*P228*($B$8-$B$9))</f>
        <v>181.154580742184</v>
      </c>
    </row>
    <row r="229" ht="14.25">
      <c r="A229">
        <v>-69</v>
      </c>
      <c r="B229">
        <f t="shared" si="63"/>
        <v>-20.7</v>
      </c>
      <c r="E229">
        <f t="shared" si="64"/>
        <v>-13.455</v>
      </c>
      <c r="F229">
        <f t="shared" si="65"/>
        <v>-13.455</v>
      </c>
      <c r="G229">
        <f t="shared" si="66"/>
        <v>144.419941643009</v>
      </c>
      <c r="H229">
        <f t="shared" si="67"/>
        <v>144.419941643009</v>
      </c>
      <c r="I229">
        <f t="shared" si="68"/>
        <v>-73.3546999284454</v>
      </c>
      <c r="J229">
        <f t="shared" si="69"/>
        <v>161.981577797484</v>
      </c>
      <c r="K229" s="6">
        <f t="shared" si="70"/>
        <v>25.1862</v>
      </c>
      <c r="N229" s="6">
        <f t="shared" si="71"/>
        <v>-124.2</v>
      </c>
      <c r="O229" s="6">
        <f t="shared" si="72"/>
        <v>-116.618360972713</v>
      </c>
      <c r="P229" s="7">
        <f t="shared" si="73"/>
        <v>-79.2537562771504</v>
      </c>
      <c r="Q229" s="7"/>
      <c r="R229" s="7">
        <f t="shared" si="74"/>
        <v>278.804288944133</v>
      </c>
      <c r="S229" s="7">
        <f t="shared" si="75"/>
        <v>-51.5149415801478</v>
      </c>
      <c r="T229" s="7">
        <f t="shared" si="76"/>
        <v>-51.5149415801478</v>
      </c>
      <c r="U229" s="7">
        <f t="shared" si="77"/>
        <v>-575.705430512489</v>
      </c>
      <c r="V229" s="7">
        <f t="shared" si="78"/>
        <v>-575.705430512489</v>
      </c>
      <c r="W229" s="7">
        <f t="shared" si="79"/>
        <v>297.755299840485</v>
      </c>
      <c r="X229" s="7">
        <f t="shared" si="80"/>
        <v>648.147329937158</v>
      </c>
      <c r="Y229" s="7">
        <f t="shared" si="81"/>
        <v>199.343396295388</v>
      </c>
    </row>
    <row r="230" ht="14.25">
      <c r="A230">
        <v>-70</v>
      </c>
      <c r="B230">
        <f t="shared" si="63"/>
        <v>-21</v>
      </c>
      <c r="E230">
        <f t="shared" si="64"/>
        <v>-13.65</v>
      </c>
      <c r="F230">
        <f t="shared" si="65"/>
        <v>-13.65</v>
      </c>
      <c r="G230">
        <f t="shared" si="66"/>
        <v>141.185357846873</v>
      </c>
      <c r="H230">
        <f t="shared" si="67"/>
        <v>141.185357846873</v>
      </c>
      <c r="I230">
        <f t="shared" si="68"/>
        <v>-73.5496999284454</v>
      </c>
      <c r="J230">
        <f t="shared" si="69"/>
        <v>159.194420850462</v>
      </c>
      <c r="K230" s="6">
        <f t="shared" si="70"/>
        <v>24.882</v>
      </c>
      <c r="N230" s="6">
        <f t="shared" si="71"/>
        <v>-126</v>
      </c>
      <c r="O230" s="6">
        <f t="shared" si="72"/>
        <v>-114.071396206868</v>
      </c>
      <c r="P230" s="7">
        <f t="shared" si="73"/>
        <v>-82.8777205732387</v>
      </c>
      <c r="Q230" s="7"/>
      <c r="R230" s="7">
        <f t="shared" si="74"/>
        <v>280.459816041933</v>
      </c>
      <c r="S230" s="7">
        <f t="shared" si="75"/>
        <v>-53.8705183726051</v>
      </c>
      <c r="T230" s="7">
        <f t="shared" si="76"/>
        <v>-53.8705183726051</v>
      </c>
      <c r="U230" s="7">
        <f t="shared" si="77"/>
        <v>-613.123290714365</v>
      </c>
      <c r="V230" s="7">
        <f t="shared" si="78"/>
        <v>-613.123290714365</v>
      </c>
      <c r="W230" s="7">
        <f t="shared" si="79"/>
        <v>287.771601787903</v>
      </c>
      <c r="X230" s="7">
        <f t="shared" si="80"/>
        <v>677.298061721711</v>
      </c>
      <c r="Y230" s="7">
        <f t="shared" si="81"/>
        <v>215.948609559345</v>
      </c>
    </row>
    <row r="231" ht="14.25">
      <c r="A231">
        <v>-71</v>
      </c>
      <c r="B231">
        <f t="shared" si="63"/>
        <v>-21.3</v>
      </c>
      <c r="E231">
        <f t="shared" si="64"/>
        <v>-13.845</v>
      </c>
      <c r="F231">
        <f t="shared" si="65"/>
        <v>-13.845</v>
      </c>
      <c r="G231">
        <f t="shared" si="66"/>
        <v>137.950774050737</v>
      </c>
      <c r="H231">
        <f t="shared" si="67"/>
        <v>137.950774050737</v>
      </c>
      <c r="I231">
        <f t="shared" si="68"/>
        <v>-73.7446999284454</v>
      </c>
      <c r="J231">
        <f t="shared" si="69"/>
        <v>156.424732151709</v>
      </c>
      <c r="K231" s="6">
        <f t="shared" si="70"/>
        <v>24.5778</v>
      </c>
      <c r="N231" s="6">
        <f t="shared" si="71"/>
        <v>-127.8</v>
      </c>
      <c r="O231" s="6">
        <f t="shared" si="72"/>
        <v>-111.411856744972</v>
      </c>
      <c r="P231" s="7">
        <f t="shared" si="73"/>
        <v>-86.4198945650697</v>
      </c>
      <c r="Q231" s="7"/>
      <c r="R231" s="7">
        <f t="shared" si="74"/>
        <v>282.188516692165</v>
      </c>
      <c r="S231" s="7">
        <f t="shared" si="75"/>
        <v>-56.1729314672953</v>
      </c>
      <c r="T231" s="7">
        <f t="shared" si="76"/>
        <v>-56.1729314672953</v>
      </c>
      <c r="U231" s="7">
        <f t="shared" si="77"/>
        <v>-649.586118721036</v>
      </c>
      <c r="V231" s="7">
        <f t="shared" si="78"/>
        <v>-649.586118721036</v>
      </c>
      <c r="W231" s="7">
        <f t="shared" si="79"/>
        <v>277.503907907444</v>
      </c>
      <c r="X231" s="7">
        <f t="shared" si="80"/>
        <v>706.378471174599</v>
      </c>
      <c r="Y231" s="7">
        <f t="shared" si="81"/>
        <v>230.922091446405</v>
      </c>
    </row>
    <row r="232" ht="14.25">
      <c r="A232">
        <v>-72</v>
      </c>
      <c r="B232">
        <f t="shared" si="63"/>
        <v>-21.6</v>
      </c>
      <c r="E232">
        <f t="shared" si="64"/>
        <v>-14.04</v>
      </c>
      <c r="F232">
        <f t="shared" si="65"/>
        <v>-14.04</v>
      </c>
      <c r="G232">
        <f t="shared" si="66"/>
        <v>134.716190254601</v>
      </c>
      <c r="H232">
        <f t="shared" si="67"/>
        <v>134.716190254601</v>
      </c>
      <c r="I232">
        <f t="shared" si="68"/>
        <v>-73.9396999284454</v>
      </c>
      <c r="J232">
        <f t="shared" si="69"/>
        <v>153.673456205756</v>
      </c>
      <c r="K232" s="6">
        <f t="shared" si="70"/>
        <v>24.2736</v>
      </c>
      <c r="N232" s="6">
        <f t="shared" si="71"/>
        <v>-129.6</v>
      </c>
      <c r="O232" s="6">
        <f t="shared" si="72"/>
        <v>-108.642367231386</v>
      </c>
      <c r="P232" s="7">
        <f t="shared" si="73"/>
        <v>-89.8767825545653</v>
      </c>
      <c r="Q232" s="7"/>
      <c r="R232" s="7">
        <f t="shared" si="74"/>
        <v>283.988684875996</v>
      </c>
      <c r="S232" s="7">
        <f t="shared" si="75"/>
        <v>-58.4199086604674</v>
      </c>
      <c r="T232" s="7">
        <f t="shared" si="76"/>
        <v>-58.4199086604674</v>
      </c>
      <c r="U232" s="7">
        <f t="shared" si="77"/>
        <v>-685.057930123471</v>
      </c>
      <c r="V232" s="7">
        <f t="shared" si="78"/>
        <v>-685.057930123471</v>
      </c>
      <c r="W232" s="7">
        <f t="shared" si="79"/>
        <v>266.962351173333</v>
      </c>
      <c r="X232" s="7">
        <f t="shared" si="80"/>
        <v>735.236876502429</v>
      </c>
      <c r="Y232" s="7">
        <f t="shared" si="81"/>
        <v>244.22292182071</v>
      </c>
    </row>
    <row r="233" ht="14.25">
      <c r="A233">
        <v>-73</v>
      </c>
      <c r="B233">
        <f t="shared" si="63"/>
        <v>-21.9</v>
      </c>
      <c r="E233">
        <f t="shared" si="64"/>
        <v>-14.235</v>
      </c>
      <c r="F233">
        <f t="shared" si="65"/>
        <v>-14.235</v>
      </c>
      <c r="G233">
        <f t="shared" si="66"/>
        <v>131.481606458465</v>
      </c>
      <c r="H233">
        <f t="shared" si="67"/>
        <v>131.481606458465</v>
      </c>
      <c r="I233">
        <f t="shared" si="68"/>
        <v>-74.1346999284454</v>
      </c>
      <c r="J233">
        <f t="shared" si="69"/>
        <v>150.9415998669</v>
      </c>
      <c r="K233" s="6">
        <f t="shared" si="70"/>
        <v>23.9694</v>
      </c>
      <c r="N233" s="6">
        <f t="shared" si="71"/>
        <v>-131.4</v>
      </c>
      <c r="O233" s="6">
        <f t="shared" si="72"/>
        <v>-105.765660817895</v>
      </c>
      <c r="P233" s="7">
        <f t="shared" si="73"/>
        <v>-93.2449730106349</v>
      </c>
      <c r="Q233" s="7"/>
      <c r="R233" s="7">
        <f t="shared" si="74"/>
        <v>285.858544044765</v>
      </c>
      <c r="S233" s="7">
        <f t="shared" si="75"/>
        <v>-60.6092324569127</v>
      </c>
      <c r="T233" s="7">
        <f t="shared" si="76"/>
        <v>-60.6092324569127</v>
      </c>
      <c r="U233" s="7">
        <f t="shared" si="77"/>
        <v>-719.503718526378</v>
      </c>
      <c r="V233" s="7">
        <f t="shared" si="78"/>
        <v>-719.503718526378</v>
      </c>
      <c r="W233" s="7">
        <f t="shared" si="79"/>
        <v>256.157334829369</v>
      </c>
      <c r="X233" s="7">
        <f t="shared" si="80"/>
        <v>763.742221669178</v>
      </c>
      <c r="Y233" s="7">
        <f t="shared" si="81"/>
        <v>255.817533056364</v>
      </c>
    </row>
    <row r="234" ht="14.25">
      <c r="A234">
        <v>-74</v>
      </c>
      <c r="B234">
        <f t="shared" si="63"/>
        <v>-22.2</v>
      </c>
      <c r="E234">
        <f t="shared" si="64"/>
        <v>-14.43</v>
      </c>
      <c r="F234">
        <f t="shared" si="65"/>
        <v>-14.43</v>
      </c>
      <c r="G234">
        <f t="shared" si="66"/>
        <v>128.247022662329</v>
      </c>
      <c r="H234">
        <f t="shared" si="67"/>
        <v>128.247022662329</v>
      </c>
      <c r="I234">
        <f t="shared" si="68"/>
        <v>-74.3296999284454</v>
      </c>
      <c r="J234">
        <f t="shared" si="69"/>
        <v>148.230236838523</v>
      </c>
      <c r="K234" s="6">
        <f t="shared" si="70"/>
        <v>23.6652</v>
      </c>
      <c r="N234" s="6">
        <f t="shared" si="71"/>
        <v>-133.2</v>
      </c>
      <c r="O234" s="6">
        <f t="shared" si="72"/>
        <v>-102.784576466419</v>
      </c>
      <c r="P234" s="7">
        <f t="shared" si="73"/>
        <v>-96.5211419359451</v>
      </c>
      <c r="Q234" s="7"/>
      <c r="R234" s="7">
        <f t="shared" si="74"/>
        <v>287.796248873224</v>
      </c>
      <c r="S234" s="7">
        <f t="shared" si="75"/>
        <v>-62.7387422583643</v>
      </c>
      <c r="T234" s="7">
        <f t="shared" si="76"/>
        <v>-62.7387422583643</v>
      </c>
      <c r="U234" s="7">
        <f t="shared" si="77"/>
        <v>-752.889490095295</v>
      </c>
      <c r="V234" s="7">
        <f t="shared" si="78"/>
        <v>-752.889490095295</v>
      </c>
      <c r="W234" s="7">
        <f t="shared" si="79"/>
        <v>245.099522122178</v>
      </c>
      <c r="X234" s="7">
        <f t="shared" si="80"/>
        <v>791.780499911733</v>
      </c>
      <c r="Y234" s="7">
        <f t="shared" si="81"/>
        <v>265.679823837152</v>
      </c>
    </row>
    <row r="235" ht="14.25">
      <c r="A235">
        <v>-75</v>
      </c>
      <c r="B235">
        <f t="shared" si="63"/>
        <v>-22.5</v>
      </c>
      <c r="E235">
        <f t="shared" si="64"/>
        <v>-14.625</v>
      </c>
      <c r="F235">
        <f t="shared" si="65"/>
        <v>-14.625</v>
      </c>
      <c r="G235">
        <f t="shared" si="66"/>
        <v>125.012438866193</v>
      </c>
      <c r="H235">
        <f t="shared" si="67"/>
        <v>125.012438866193</v>
      </c>
      <c r="I235">
        <f t="shared" si="68"/>
        <v>-74.5246999284454</v>
      </c>
      <c r="J235">
        <f t="shared" si="69"/>
        <v>145.540512472296</v>
      </c>
      <c r="K235" s="6">
        <f t="shared" si="70"/>
        <v>23.361</v>
      </c>
      <c r="N235" s="6">
        <f t="shared" si="71"/>
        <v>-135</v>
      </c>
      <c r="O235" s="6">
        <f t="shared" si="72"/>
        <v>-99.7020561473032</v>
      </c>
      <c r="P235" s="7">
        <f t="shared" si="73"/>
        <v>-99.7020561473032</v>
      </c>
      <c r="Q235" s="7"/>
      <c r="R235" s="7">
        <f t="shared" si="74"/>
        <v>289.79988708065</v>
      </c>
      <c r="S235" s="7">
        <f t="shared" si="75"/>
        <v>-64.8063364957471</v>
      </c>
      <c r="T235" s="7">
        <f t="shared" si="76"/>
        <v>-64.8063364957471</v>
      </c>
      <c r="U235" s="7">
        <f t="shared" si="77"/>
        <v>-785.182297104396</v>
      </c>
      <c r="V235" s="7">
        <f t="shared" si="78"/>
        <v>-785.182297104396</v>
      </c>
      <c r="W235" s="7">
        <f t="shared" si="79"/>
        <v>233.799825777877</v>
      </c>
      <c r="X235" s="7">
        <f t="shared" si="80"/>
        <v>819.251852741207</v>
      </c>
      <c r="Y235" s="7">
        <f t="shared" si="81"/>
        <v>273.791242767106</v>
      </c>
    </row>
    <row r="236" ht="14.25">
      <c r="A236">
        <v>-76</v>
      </c>
      <c r="B236">
        <f t="shared" si="63"/>
        <v>-22.8</v>
      </c>
      <c r="E236">
        <f t="shared" si="64"/>
        <v>-14.82</v>
      </c>
      <c r="F236">
        <f t="shared" si="65"/>
        <v>-14.82</v>
      </c>
      <c r="G236">
        <f t="shared" si="66"/>
        <v>121.777855070057</v>
      </c>
      <c r="H236">
        <f t="shared" si="67"/>
        <v>121.777855070057</v>
      </c>
      <c r="I236">
        <f t="shared" si="68"/>
        <v>-74.7196999284454</v>
      </c>
      <c r="J236">
        <f t="shared" si="69"/>
        <v>142.873648875014</v>
      </c>
      <c r="K236" s="6">
        <f t="shared" si="70"/>
        <v>23.0568</v>
      </c>
      <c r="N236" s="6">
        <f t="shared" si="71"/>
        <v>-136.8</v>
      </c>
      <c r="O236" s="6">
        <f t="shared" si="72"/>
        <v>-96.5211419359451</v>
      </c>
      <c r="P236" s="7">
        <f t="shared" si="73"/>
        <v>-102.784576466419</v>
      </c>
      <c r="Q236" s="7"/>
      <c r="R236" s="7">
        <f t="shared" si="74"/>
        <v>291.867481318032</v>
      </c>
      <c r="S236" s="7">
        <f t="shared" si="75"/>
        <v>-66.8099747031723</v>
      </c>
      <c r="T236" s="7">
        <f t="shared" si="76"/>
        <v>-66.8099747031723</v>
      </c>
      <c r="U236" s="7">
        <f t="shared" si="77"/>
        <v>-816.35027045192</v>
      </c>
      <c r="V236" s="7">
        <f t="shared" si="78"/>
        <v>-816.35027045192</v>
      </c>
      <c r="W236" s="7">
        <f t="shared" si="79"/>
        <v>222.269397232528</v>
      </c>
      <c r="X236" s="7">
        <f t="shared" si="80"/>
        <v>846.068229525866</v>
      </c>
      <c r="Y236" s="7">
        <f t="shared" si="81"/>
        <v>280.14084148111</v>
      </c>
    </row>
    <row r="237" ht="14.25">
      <c r="A237">
        <v>-77</v>
      </c>
      <c r="B237">
        <f t="shared" si="63"/>
        <v>-23.1</v>
      </c>
      <c r="E237">
        <f t="shared" si="64"/>
        <v>-15.015</v>
      </c>
      <c r="F237">
        <f t="shared" si="65"/>
        <v>-15.015</v>
      </c>
      <c r="G237">
        <f t="shared" si="66"/>
        <v>118.543271273921</v>
      </c>
      <c r="H237">
        <f t="shared" si="67"/>
        <v>118.543271273921</v>
      </c>
      <c r="I237">
        <f t="shared" si="68"/>
        <v>-74.9146999284454</v>
      </c>
      <c r="J237">
        <f t="shared" si="69"/>
        <v>140.230950327278</v>
      </c>
      <c r="K237" s="6">
        <f t="shared" si="70"/>
        <v>22.7526</v>
      </c>
      <c r="N237" s="6">
        <f t="shared" si="71"/>
        <v>-138.6</v>
      </c>
      <c r="O237" s="6">
        <f t="shared" si="72"/>
        <v>-93.2449730106349</v>
      </c>
      <c r="P237" s="7">
        <f t="shared" si="73"/>
        <v>-105.765660817895</v>
      </c>
      <c r="Q237" s="7"/>
      <c r="R237" s="7">
        <f t="shared" si="74"/>
        <v>293.996991119484</v>
      </c>
      <c r="S237" s="7">
        <f t="shared" si="75"/>
        <v>-68.7476795316316</v>
      </c>
      <c r="T237" s="7">
        <f t="shared" si="76"/>
        <v>-68.7476795316316</v>
      </c>
      <c r="U237" s="7">
        <f t="shared" si="77"/>
        <v>-846.362651111129</v>
      </c>
      <c r="V237" s="7">
        <f t="shared" si="78"/>
        <v>-846.362651111129</v>
      </c>
      <c r="W237" s="7">
        <f t="shared" si="79"/>
        <v>210.519615627019</v>
      </c>
      <c r="X237" s="7">
        <f t="shared" si="80"/>
        <v>872.151503902623</v>
      </c>
      <c r="Y237" s="7">
        <f t="shared" si="81"/>
        <v>284.725297065766</v>
      </c>
    </row>
    <row r="238" ht="14.25">
      <c r="A238">
        <v>-78</v>
      </c>
      <c r="B238">
        <f t="shared" si="63"/>
        <v>-23.4</v>
      </c>
      <c r="E238">
        <f t="shared" si="64"/>
        <v>-15.21</v>
      </c>
      <c r="F238">
        <f t="shared" si="65"/>
        <v>-15.21</v>
      </c>
      <c r="G238">
        <f t="shared" si="66"/>
        <v>115.308687477785</v>
      </c>
      <c r="H238">
        <f t="shared" si="67"/>
        <v>115.308687477785</v>
      </c>
      <c r="I238">
        <f t="shared" si="68"/>
        <v>-75.1096999284454</v>
      </c>
      <c r="J238">
        <f t="shared" si="69"/>
        <v>137.613809013451</v>
      </c>
      <c r="K238" s="6">
        <f t="shared" si="70"/>
        <v>22.4484</v>
      </c>
      <c r="N238" s="6">
        <f t="shared" si="71"/>
        <v>-140.4</v>
      </c>
      <c r="O238" s="6">
        <f t="shared" si="72"/>
        <v>-89.8767825545653</v>
      </c>
      <c r="P238" s="7">
        <f t="shared" si="73"/>
        <v>-108.642367231386</v>
      </c>
      <c r="Q238" s="7"/>
      <c r="R238" s="7">
        <f t="shared" si="74"/>
        <v>296.186314915929</v>
      </c>
      <c r="S238" s="7">
        <f t="shared" si="75"/>
        <v>-70.6175387004011</v>
      </c>
      <c r="T238" s="7">
        <f t="shared" si="76"/>
        <v>-70.6175387004011</v>
      </c>
      <c r="U238" s="7">
        <f t="shared" si="77"/>
        <v>-875.189820485752</v>
      </c>
      <c r="V238" s="7">
        <f t="shared" si="78"/>
        <v>-875.189820485752</v>
      </c>
      <c r="W238" s="7">
        <f t="shared" si="79"/>
        <v>198.562076577229</v>
      </c>
      <c r="X238" s="7">
        <f t="shared" si="80"/>
        <v>897.431958499664</v>
      </c>
      <c r="Y238" s="7">
        <f t="shared" si="81"/>
        <v>287.548903722554</v>
      </c>
    </row>
    <row r="239" ht="14.25">
      <c r="A239">
        <v>-79</v>
      </c>
      <c r="B239">
        <f t="shared" si="63"/>
        <v>-23.7</v>
      </c>
      <c r="E239">
        <f t="shared" si="64"/>
        <v>-15.405</v>
      </c>
      <c r="F239">
        <f t="shared" si="65"/>
        <v>-15.405</v>
      </c>
      <c r="G239">
        <f t="shared" si="66"/>
        <v>112.074103681649</v>
      </c>
      <c r="H239">
        <f t="shared" si="67"/>
        <v>112.074103681649</v>
      </c>
      <c r="I239">
        <f t="shared" si="68"/>
        <v>-75.3046999284454</v>
      </c>
      <c r="J239">
        <f t="shared" si="69"/>
        <v>135.023711056089</v>
      </c>
      <c r="K239" s="6">
        <f t="shared" si="70"/>
        <v>22.1442</v>
      </c>
      <c r="N239" s="6">
        <f t="shared" si="71"/>
        <v>-142.2</v>
      </c>
      <c r="O239" s="6">
        <f t="shared" si="72"/>
        <v>-86.4198945650697</v>
      </c>
      <c r="P239" s="7">
        <f t="shared" si="73"/>
        <v>-111.411856744972</v>
      </c>
      <c r="Q239" s="7"/>
      <c r="R239" s="7">
        <f t="shared" si="74"/>
        <v>298.433292109101</v>
      </c>
      <c r="S239" s="7">
        <f t="shared" si="75"/>
        <v>-72.417706884232</v>
      </c>
      <c r="T239" s="7">
        <f t="shared" si="76"/>
        <v>-72.417706884232</v>
      </c>
      <c r="U239" s="7">
        <f t="shared" si="77"/>
        <v>-902.80332963996</v>
      </c>
      <c r="V239" s="7">
        <f t="shared" si="78"/>
        <v>-902.80332963996</v>
      </c>
      <c r="W239" s="7">
        <f t="shared" si="79"/>
        <v>186.408580730546</v>
      </c>
      <c r="X239" s="7">
        <f t="shared" si="80"/>
        <v>921.847064853479</v>
      </c>
      <c r="Y239" s="7">
        <f t="shared" si="81"/>
        <v>288.623533727364</v>
      </c>
    </row>
    <row r="240" ht="14.25">
      <c r="A240">
        <v>-80</v>
      </c>
      <c r="B240">
        <f t="shared" si="63"/>
        <v>-24</v>
      </c>
      <c r="E240">
        <f t="shared" si="64"/>
        <v>-15.6</v>
      </c>
      <c r="F240">
        <f t="shared" si="65"/>
        <v>-15.6</v>
      </c>
      <c r="G240">
        <f t="shared" si="66"/>
        <v>108.839519885513</v>
      </c>
      <c r="H240">
        <f t="shared" si="67"/>
        <v>108.839519885513</v>
      </c>
      <c r="I240">
        <f t="shared" si="68"/>
        <v>-75.4996999284454</v>
      </c>
      <c r="J240">
        <f t="shared" si="69"/>
        <v>132.462242839966</v>
      </c>
      <c r="K240" s="6">
        <f t="shared" si="70"/>
        <v>21.84</v>
      </c>
      <c r="N240" s="6">
        <f t="shared" si="71"/>
        <v>-144</v>
      </c>
      <c r="O240" s="6">
        <f t="shared" si="72"/>
        <v>-82.8777205732387</v>
      </c>
      <c r="P240" s="7">
        <f t="shared" si="73"/>
        <v>-114.071396206868</v>
      </c>
      <c r="Q240" s="7"/>
      <c r="R240" s="7">
        <f t="shared" si="74"/>
        <v>300.735705203791</v>
      </c>
      <c r="S240" s="7">
        <f t="shared" si="75"/>
        <v>-74.1464075344639</v>
      </c>
      <c r="T240" s="7">
        <f t="shared" si="76"/>
        <v>-74.1464075344639</v>
      </c>
      <c r="U240" s="7">
        <f t="shared" si="77"/>
        <v>-929.175927374039</v>
      </c>
      <c r="V240" s="7">
        <f t="shared" si="78"/>
        <v>-929.175927374039</v>
      </c>
      <c r="W240" s="7">
        <f t="shared" si="79"/>
        <v>174.071122120063</v>
      </c>
      <c r="X240" s="7">
        <f t="shared" si="80"/>
        <v>945.340499273962</v>
      </c>
      <c r="Y240" s="7">
        <f t="shared" si="81"/>
        <v>287.968567862268</v>
      </c>
    </row>
    <row r="241" ht="14.25">
      <c r="A241">
        <v>-81</v>
      </c>
      <c r="B241">
        <f t="shared" si="63"/>
        <v>-24.3</v>
      </c>
      <c r="E241">
        <f t="shared" si="64"/>
        <v>-15.795</v>
      </c>
      <c r="F241">
        <f t="shared" si="65"/>
        <v>-15.795</v>
      </c>
      <c r="G241">
        <f t="shared" si="66"/>
        <v>105.604936089377</v>
      </c>
      <c r="H241">
        <f t="shared" si="67"/>
        <v>105.604936089377</v>
      </c>
      <c r="I241">
        <f t="shared" si="68"/>
        <v>-75.6946999284454</v>
      </c>
      <c r="J241">
        <f t="shared" si="69"/>
        <v>129.931097600608</v>
      </c>
      <c r="K241" s="6">
        <f t="shared" si="70"/>
        <v>21.5358</v>
      </c>
      <c r="N241" s="6">
        <f t="shared" si="71"/>
        <v>-145.8</v>
      </c>
      <c r="O241" s="6">
        <f t="shared" si="72"/>
        <v>-79.2537562771504</v>
      </c>
      <c r="P241" s="7">
        <f t="shared" si="73"/>
        <v>-116.618360972713</v>
      </c>
      <c r="Q241" s="7"/>
      <c r="R241" s="7">
        <f t="shared" si="74"/>
        <v>303.091281996249</v>
      </c>
      <c r="S241" s="7">
        <f t="shared" si="75"/>
        <v>-75.8019346322636</v>
      </c>
      <c r="T241" s="7">
        <f t="shared" si="76"/>
        <v>-75.8019346322636</v>
      </c>
      <c r="U241" s="7">
        <f t="shared" si="77"/>
        <v>-954.281587118028</v>
      </c>
      <c r="V241" s="7">
        <f t="shared" si="78"/>
        <v>-954.281587118028</v>
      </c>
      <c r="W241" s="7">
        <f t="shared" si="79"/>
        <v>161.561876327909</v>
      </c>
      <c r="X241" s="7">
        <f t="shared" si="80"/>
        <v>967.861347195504</v>
      </c>
      <c r="Y241" s="7">
        <f t="shared" si="81"/>
        <v>285.610795616504</v>
      </c>
    </row>
    <row r="242" ht="14.25">
      <c r="A242">
        <v>-82</v>
      </c>
      <c r="B242">
        <f t="shared" si="63"/>
        <v>-24.6</v>
      </c>
      <c r="E242">
        <f t="shared" si="64"/>
        <v>-15.99</v>
      </c>
      <c r="F242">
        <f t="shared" si="65"/>
        <v>-15.99</v>
      </c>
      <c r="G242">
        <f t="shared" si="66"/>
        <v>102.370352293241</v>
      </c>
      <c r="H242">
        <f t="shared" si="67"/>
        <v>102.370352293241</v>
      </c>
      <c r="I242">
        <f t="shared" si="68"/>
        <v>-75.8896999284454</v>
      </c>
      <c r="J242">
        <f t="shared" si="69"/>
        <v>127.43208223941</v>
      </c>
      <c r="K242" s="6">
        <f t="shared" si="70"/>
        <v>21.2316</v>
      </c>
      <c r="N242" s="6">
        <f t="shared" si="71"/>
        <v>-147.6</v>
      </c>
      <c r="O242" s="6">
        <f t="shared" si="72"/>
        <v>-75.5515780920386</v>
      </c>
      <c r="P242" s="7">
        <f t="shared" si="73"/>
        <v>-119.050237495784</v>
      </c>
      <c r="Q242" s="7"/>
      <c r="R242" s="7">
        <f t="shared" si="74"/>
        <v>305.497697816572</v>
      </c>
      <c r="S242" s="7">
        <f t="shared" si="75"/>
        <v>-77.3826543722597</v>
      </c>
      <c r="T242" s="7">
        <f t="shared" si="76"/>
        <v>-77.3826543722597</v>
      </c>
      <c r="U242" s="7">
        <f t="shared" si="77"/>
        <v>-978.095532616801</v>
      </c>
      <c r="V242" s="7">
        <f t="shared" si="78"/>
        <v>-978.095532616801</v>
      </c>
      <c r="W242" s="7">
        <f t="shared" si="79"/>
        <v>148.893188469421</v>
      </c>
      <c r="X242" s="7">
        <f t="shared" si="80"/>
        <v>989.363458238444</v>
      </c>
      <c r="Y242" s="7">
        <f t="shared" si="81"/>
        <v>281.584285573552</v>
      </c>
    </row>
    <row r="243" ht="14.25">
      <c r="A243">
        <v>-83</v>
      </c>
      <c r="B243">
        <f t="shared" si="63"/>
        <v>-24.9</v>
      </c>
      <c r="E243">
        <f t="shared" si="64"/>
        <v>-16.185</v>
      </c>
      <c r="F243">
        <f t="shared" si="65"/>
        <v>-16.185</v>
      </c>
      <c r="G243">
        <f t="shared" si="66"/>
        <v>99.1357684971044</v>
      </c>
      <c r="H243">
        <f t="shared" si="67"/>
        <v>99.1357684971044</v>
      </c>
      <c r="I243">
        <f t="shared" si="68"/>
        <v>-76.0846999284454</v>
      </c>
      <c r="J243">
        <f t="shared" si="69"/>
        <v>124.967124311609</v>
      </c>
      <c r="K243" s="6">
        <f t="shared" si="70"/>
        <v>20.9274</v>
      </c>
      <c r="N243" s="6">
        <f t="shared" si="71"/>
        <v>-149.4</v>
      </c>
      <c r="O243" s="6">
        <f t="shared" si="72"/>
        <v>-71.7748396208023</v>
      </c>
      <c r="P243" s="7">
        <f t="shared" si="73"/>
        <v>-121.364625807556</v>
      </c>
      <c r="Q243" s="7"/>
      <c r="R243" s="7">
        <f t="shared" si="74"/>
        <v>307.952577822875</v>
      </c>
      <c r="S243" s="7">
        <f t="shared" si="75"/>
        <v>-78.8870067749114</v>
      </c>
      <c r="T243" s="7">
        <f t="shared" si="76"/>
        <v>-78.8870067749114</v>
      </c>
      <c r="U243" s="7">
        <f t="shared" si="77"/>
        <v>-1000.59426238124</v>
      </c>
      <c r="V243" s="7">
        <f t="shared" si="78"/>
        <v>-1000.59426238124</v>
      </c>
      <c r="W243" s="7">
        <f t="shared" si="79"/>
        <v>136.077561010006</v>
      </c>
      <c r="X243" s="7">
        <f t="shared" si="80"/>
        <v>1009.80492201251</v>
      </c>
      <c r="Y243" s="7">
        <f t="shared" si="81"/>
        <v>275.930226519376</v>
      </c>
    </row>
    <row r="244" ht="14.25">
      <c r="A244">
        <v>-84</v>
      </c>
      <c r="B244">
        <f t="shared" si="63"/>
        <v>-25.2</v>
      </c>
      <c r="E244">
        <f t="shared" si="64"/>
        <v>-16.38</v>
      </c>
      <c r="F244">
        <f t="shared" si="65"/>
        <v>-16.38</v>
      </c>
      <c r="G244">
        <f t="shared" si="66"/>
        <v>95.9011847009684</v>
      </c>
      <c r="H244">
        <f t="shared" si="67"/>
        <v>95.9011847009684</v>
      </c>
      <c r="I244">
        <f t="shared" si="68"/>
        <v>-76.2796999284454</v>
      </c>
      <c r="J244">
        <f t="shared" si="69"/>
        <v>122.53827911401</v>
      </c>
      <c r="K244" s="6">
        <f t="shared" si="70"/>
        <v>20.6232</v>
      </c>
      <c r="N244" s="6">
        <f t="shared" si="71"/>
        <v>-151.2</v>
      </c>
      <c r="O244" s="6">
        <f t="shared" si="72"/>
        <v>-67.9272680483419</v>
      </c>
      <c r="P244" s="7">
        <f t="shared" si="73"/>
        <v>-123.559241886185</v>
      </c>
      <c r="Q244" s="7"/>
      <c r="R244" s="7">
        <f t="shared" si="74"/>
        <v>310.453499344974</v>
      </c>
      <c r="S244" s="7">
        <f t="shared" si="75"/>
        <v>-80.3135072260201</v>
      </c>
      <c r="T244" s="7">
        <f t="shared" si="76"/>
        <v>-80.3135072260201</v>
      </c>
      <c r="U244" s="7">
        <f t="shared" si="77"/>
        <v>-1021.75557288139</v>
      </c>
      <c r="V244" s="7">
        <f t="shared" si="78"/>
        <v>-1021.75557288139</v>
      </c>
      <c r="W244" s="7">
        <f t="shared" si="79"/>
        <v>123.127641426718</v>
      </c>
      <c r="X244" s="7">
        <f t="shared" si="80"/>
        <v>1029.14764091333</v>
      </c>
      <c r="Y244" s="7">
        <f t="shared" si="81"/>
        <v>268.696739923044</v>
      </c>
    </row>
    <row r="245" ht="14.25">
      <c r="A245">
        <v>-85</v>
      </c>
      <c r="B245">
        <f t="shared" si="63"/>
        <v>-25.5</v>
      </c>
      <c r="E245">
        <f t="shared" si="64"/>
        <v>-16.575</v>
      </c>
      <c r="F245">
        <f t="shared" si="65"/>
        <v>-16.575</v>
      </c>
      <c r="G245">
        <f t="shared" si="66"/>
        <v>92.6666009048324</v>
      </c>
      <c r="H245">
        <f t="shared" si="67"/>
        <v>92.6666009048324</v>
      </c>
      <c r="I245">
        <f t="shared" si="68"/>
        <v>-76.4746999284454</v>
      </c>
      <c r="J245">
        <f t="shared" si="69"/>
        <v>120.147736776026</v>
      </c>
      <c r="K245" s="6">
        <f t="shared" si="70"/>
        <v>20.319</v>
      </c>
      <c r="N245" s="6">
        <f t="shared" si="71"/>
        <v>-153</v>
      </c>
      <c r="O245" s="6">
        <f t="shared" si="72"/>
        <v>-64.0126604632761</v>
      </c>
      <c r="P245" s="7">
        <f t="shared" si="73"/>
        <v>-125.63191991056</v>
      </c>
      <c r="Q245" s="7"/>
      <c r="R245" s="7">
        <f t="shared" si="74"/>
        <v>312.997994275267</v>
      </c>
      <c r="S245" s="7">
        <f t="shared" si="75"/>
        <v>-81.6607479418639</v>
      </c>
      <c r="T245" s="7">
        <f t="shared" si="76"/>
        <v>-81.6607479418639</v>
      </c>
      <c r="U245" s="7">
        <f t="shared" si="77"/>
        <v>-1041.5585804586</v>
      </c>
      <c r="V245" s="7">
        <f t="shared" si="78"/>
        <v>-1041.5585804586</v>
      </c>
      <c r="W245" s="7">
        <f t="shared" si="79"/>
        <v>110.056209726721</v>
      </c>
      <c r="X245" s="7">
        <f t="shared" si="80"/>
        <v>1047.35698108445</v>
      </c>
      <c r="Y245" s="7">
        <f t="shared" si="81"/>
        <v>259.938664554405</v>
      </c>
    </row>
    <row r="246" ht="14.25">
      <c r="A246">
        <v>-86</v>
      </c>
      <c r="B246">
        <f t="shared" si="63"/>
        <v>-25.8</v>
      </c>
      <c r="E246">
        <f t="shared" si="64"/>
        <v>-16.77</v>
      </c>
      <c r="F246">
        <f t="shared" si="65"/>
        <v>-16.77</v>
      </c>
      <c r="G246">
        <f t="shared" si="66"/>
        <v>89.4320171086963</v>
      </c>
      <c r="H246">
        <f t="shared" si="67"/>
        <v>89.4320171086963</v>
      </c>
      <c r="I246">
        <f t="shared" si="68"/>
        <v>-76.6696999284454</v>
      </c>
      <c r="J246">
        <f t="shared" si="69"/>
        <v>117.797829229778</v>
      </c>
      <c r="K246" s="6">
        <f t="shared" si="70"/>
        <v>20.0148</v>
      </c>
      <c r="N246" s="6">
        <f t="shared" si="71"/>
        <v>-154.8</v>
      </c>
      <c r="O246" s="6">
        <f t="shared" si="72"/>
        <v>-60.0348801106752</v>
      </c>
      <c r="P246" s="7">
        <f t="shared" si="73"/>
        <v>-127.580614397709</v>
      </c>
      <c r="Q246" s="7"/>
      <c r="R246" s="7">
        <f t="shared" si="74"/>
        <v>315.583551504458</v>
      </c>
      <c r="S246" s="7">
        <f t="shared" si="75"/>
        <v>-82.9273993585107</v>
      </c>
      <c r="T246" s="7">
        <f t="shared" si="76"/>
        <v>-82.9273993585107</v>
      </c>
      <c r="U246" s="7">
        <f t="shared" si="77"/>
        <v>-1059.98374193524</v>
      </c>
      <c r="V246" s="7">
        <f t="shared" si="78"/>
        <v>-1059.98374193524</v>
      </c>
      <c r="W246" s="7">
        <f t="shared" si="79"/>
        <v>96.8761658349713</v>
      </c>
      <c r="X246" s="7">
        <f t="shared" si="80"/>
        <v>1064.40148659889</v>
      </c>
      <c r="Y246" s="7">
        <f t="shared" si="81"/>
        <v>249.717314113978</v>
      </c>
    </row>
    <row r="247" ht="14.25">
      <c r="A247">
        <v>-87</v>
      </c>
      <c r="B247">
        <f t="shared" si="63"/>
        <v>-26.1</v>
      </c>
      <c r="E247">
        <f t="shared" si="64"/>
        <v>-16.965</v>
      </c>
      <c r="F247">
        <f t="shared" si="65"/>
        <v>-16.965</v>
      </c>
      <c r="G247">
        <f t="shared" si="66"/>
        <v>86.1974333125602</v>
      </c>
      <c r="H247">
        <f t="shared" si="67"/>
        <v>86.1974333125602</v>
      </c>
      <c r="I247">
        <f t="shared" si="68"/>
        <v>-76.8646999284454</v>
      </c>
      <c r="J247">
        <f t="shared" si="69"/>
        <v>115.491036902277</v>
      </c>
      <c r="K247" s="6">
        <f t="shared" si="70"/>
        <v>19.7106</v>
      </c>
      <c r="N247" s="6">
        <f t="shared" si="71"/>
        <v>-156.6</v>
      </c>
      <c r="O247" s="6">
        <f t="shared" si="72"/>
        <v>-55.9978525795041</v>
      </c>
      <c r="P247" s="7">
        <f t="shared" si="73"/>
        <v>-129.403402221441</v>
      </c>
      <c r="Q247" s="7"/>
      <c r="R247" s="7">
        <f t="shared" si="74"/>
        <v>318.207619399719</v>
      </c>
      <c r="S247" s="7">
        <f t="shared" si="75"/>
        <v>-84.1122114439369</v>
      </c>
      <c r="T247" s="7">
        <f t="shared" si="76"/>
        <v>-84.1122114439369</v>
      </c>
      <c r="U247" s="7">
        <f t="shared" si="77"/>
        <v>-1077.01287390145</v>
      </c>
      <c r="V247" s="7">
        <f t="shared" si="78"/>
        <v>-1077.01287390145</v>
      </c>
      <c r="W247" s="7">
        <f t="shared" si="79"/>
        <v>83.6005168635439</v>
      </c>
      <c r="X247" s="7">
        <f t="shared" si="80"/>
        <v>1080.25264497214</v>
      </c>
      <c r="Y247" s="7">
        <f t="shared" si="81"/>
        <v>238.100208857186</v>
      </c>
    </row>
    <row r="248" ht="14.25">
      <c r="A248">
        <v>-88</v>
      </c>
      <c r="B248">
        <f t="shared" si="63"/>
        <v>-26.4</v>
      </c>
      <c r="E248">
        <f t="shared" si="64"/>
        <v>-17.16</v>
      </c>
      <c r="F248">
        <f t="shared" si="65"/>
        <v>-17.16</v>
      </c>
      <c r="G248">
        <f t="shared" si="66"/>
        <v>82.9628495164242</v>
      </c>
      <c r="H248">
        <f t="shared" si="67"/>
        <v>82.9628495164242</v>
      </c>
      <c r="I248">
        <f t="shared" si="68"/>
        <v>-77.0596999284454</v>
      </c>
      <c r="J248">
        <f t="shared" si="69"/>
        <v>113.229994934853</v>
      </c>
      <c r="K248" s="6">
        <f t="shared" si="70"/>
        <v>19.4064</v>
      </c>
      <c r="N248" s="6">
        <f t="shared" si="71"/>
        <v>-158.4</v>
      </c>
      <c r="O248" s="6">
        <f t="shared" si="72"/>
        <v>-51.9055619285396</v>
      </c>
      <c r="P248" s="7">
        <f t="shared" si="73"/>
        <v>-131.098484510243</v>
      </c>
      <c r="Q248" s="7"/>
      <c r="R248" s="7">
        <f t="shared" si="74"/>
        <v>320.867608322846</v>
      </c>
      <c r="S248" s="7">
        <f t="shared" si="75"/>
        <v>-85.2140149316582</v>
      </c>
      <c r="T248" s="7">
        <f t="shared" si="76"/>
        <v>-85.2140149316582</v>
      </c>
      <c r="U248" s="7">
        <f t="shared" si="77"/>
        <v>-1092.62917065991</v>
      </c>
      <c r="V248" s="7">
        <f t="shared" si="78"/>
        <v>-1092.62917065991</v>
      </c>
      <c r="W248" s="7">
        <f t="shared" si="79"/>
        <v>70.2423642751848</v>
      </c>
      <c r="X248" s="7">
        <f t="shared" si="80"/>
        <v>1094.88469452994</v>
      </c>
      <c r="Y248" s="7">
        <f t="shared" si="81"/>
        <v>225.160782298133</v>
      </c>
    </row>
    <row r="249" ht="14.25">
      <c r="A249">
        <v>-89</v>
      </c>
      <c r="B249">
        <f t="shared" si="63"/>
        <v>-26.7</v>
      </c>
      <c r="E249">
        <f t="shared" si="64"/>
        <v>-17.355</v>
      </c>
      <c r="F249">
        <f t="shared" si="65"/>
        <v>-17.355</v>
      </c>
      <c r="G249">
        <f t="shared" si="66"/>
        <v>79.7282657202882</v>
      </c>
      <c r="H249">
        <f t="shared" si="67"/>
        <v>79.7282657202882</v>
      </c>
      <c r="I249">
        <f t="shared" si="68"/>
        <v>-77.2546999284454</v>
      </c>
      <c r="J249">
        <f t="shared" si="69"/>
        <v>111.017498691868</v>
      </c>
      <c r="K249" s="6">
        <f t="shared" si="70"/>
        <v>19.1022</v>
      </c>
      <c r="N249" s="6">
        <f t="shared" si="71"/>
        <v>-160.2</v>
      </c>
      <c r="O249" s="6">
        <f t="shared" si="72"/>
        <v>-47.7620467545861</v>
      </c>
      <c r="P249" s="7">
        <f t="shared" si="73"/>
        <v>-132.664188422546</v>
      </c>
      <c r="Q249" s="7"/>
      <c r="R249" s="7">
        <f t="shared" si="74"/>
        <v>323.560893185916</v>
      </c>
      <c r="S249" s="7">
        <f t="shared" si="75"/>
        <v>-86.2317224746548</v>
      </c>
      <c r="T249" s="7">
        <f t="shared" si="76"/>
        <v>-86.2317224746548</v>
      </c>
      <c r="U249" s="7">
        <f t="shared" si="77"/>
        <v>-1106.81722081111</v>
      </c>
      <c r="V249" s="7">
        <f t="shared" si="78"/>
        <v>-1106.81722081111</v>
      </c>
      <c r="W249" s="7">
        <f t="shared" si="79"/>
        <v>56.8148909537497</v>
      </c>
      <c r="X249" s="7">
        <f t="shared" si="80"/>
        <v>1108.27446605888</v>
      </c>
      <c r="Y249" s="7">
        <f t="shared" si="81"/>
        <v>210.978064176922</v>
      </c>
    </row>
    <row r="250" ht="14.25">
      <c r="A250">
        <v>-90</v>
      </c>
      <c r="B250">
        <f t="shared" si="63"/>
        <v>-27</v>
      </c>
      <c r="E250">
        <f t="shared" si="64"/>
        <v>-17.55</v>
      </c>
      <c r="F250">
        <f t="shared" si="65"/>
        <v>-17.55</v>
      </c>
      <c r="G250">
        <f t="shared" si="66"/>
        <v>76.4936819241521</v>
      </c>
      <c r="H250">
        <f t="shared" si="67"/>
        <v>76.4936819241521</v>
      </c>
      <c r="I250">
        <f t="shared" si="68"/>
        <v>-77.4496999284454</v>
      </c>
      <c r="J250">
        <f t="shared" si="69"/>
        <v>108.856508272678</v>
      </c>
      <c r="K250" s="6">
        <f t="shared" si="70"/>
        <v>18.798</v>
      </c>
      <c r="N250" s="6">
        <f t="shared" si="71"/>
        <v>-162</v>
      </c>
      <c r="O250" s="6">
        <f t="shared" si="72"/>
        <v>-43.5713962068676</v>
      </c>
      <c r="P250" s="7">
        <f t="shared" si="73"/>
        <v>-134.098968797617</v>
      </c>
      <c r="Q250" s="7"/>
      <c r="R250" s="7">
        <f t="shared" si="74"/>
        <v>326.284816041933</v>
      </c>
      <c r="S250" s="7">
        <f t="shared" si="75"/>
        <v>-87.1643297184508</v>
      </c>
      <c r="T250" s="7">
        <f t="shared" si="76"/>
        <v>-87.1643297184508</v>
      </c>
      <c r="U250" s="7">
        <f t="shared" si="77"/>
        <v>-1119.56302246248</v>
      </c>
      <c r="V250" s="7">
        <f t="shared" si="78"/>
        <v>-1119.56302246248</v>
      </c>
      <c r="W250" s="7">
        <f t="shared" si="79"/>
        <v>43.3313481942878</v>
      </c>
      <c r="X250" s="7">
        <f t="shared" si="80"/>
        <v>1120.40125267766</v>
      </c>
      <c r="Y250" s="7">
        <f t="shared" si="81"/>
        <v>195.63634096854</v>
      </c>
    </row>
    <row r="251" ht="14.25">
      <c r="A251">
        <v>-91</v>
      </c>
      <c r="B251">
        <f t="shared" si="63"/>
        <v>-27.3</v>
      </c>
      <c r="E251">
        <f t="shared" si="64"/>
        <v>-17.745</v>
      </c>
      <c r="F251">
        <f t="shared" si="65"/>
        <v>-17.745</v>
      </c>
      <c r="G251">
        <f t="shared" si="66"/>
        <v>73.259098128016</v>
      </c>
      <c r="H251">
        <f t="shared" si="67"/>
        <v>73.259098128016</v>
      </c>
      <c r="I251">
        <f t="shared" si="68"/>
        <v>-77.6446999284454</v>
      </c>
      <c r="J251">
        <f t="shared" si="69"/>
        <v>106.750151688457</v>
      </c>
      <c r="K251" s="6">
        <f t="shared" si="70"/>
        <v>18.4938</v>
      </c>
      <c r="N251" s="6">
        <f t="shared" si="71"/>
        <v>-163.8</v>
      </c>
      <c r="O251" s="6">
        <f t="shared" si="72"/>
        <v>-39.3377459515313</v>
      </c>
      <c r="P251" s="7">
        <f t="shared" si="73"/>
        <v>-135.401409680449</v>
      </c>
      <c r="Q251" s="7"/>
      <c r="R251" s="7">
        <f t="shared" si="74"/>
        <v>329.036688707901</v>
      </c>
      <c r="S251" s="7">
        <f t="shared" si="75"/>
        <v>-88.0109162922918</v>
      </c>
      <c r="T251" s="7">
        <f t="shared" si="76"/>
        <v>-88.0109162922918</v>
      </c>
      <c r="U251" s="7">
        <f t="shared" si="77"/>
        <v>-1130.85399704663</v>
      </c>
      <c r="V251" s="7">
        <f t="shared" si="78"/>
        <v>-1130.85399704663</v>
      </c>
      <c r="W251" s="7">
        <f t="shared" si="79"/>
        <v>29.8050426256153</v>
      </c>
      <c r="X251" s="7">
        <f t="shared" si="80"/>
        <v>1131.24670306801</v>
      </c>
      <c r="Y251" s="7">
        <f t="shared" si="81"/>
        <v>179.224795300382</v>
      </c>
    </row>
    <row r="252" ht="14.25">
      <c r="A252">
        <v>-92</v>
      </c>
      <c r="B252">
        <f t="shared" si="63"/>
        <v>-27.6</v>
      </c>
      <c r="E252">
        <f t="shared" si="64"/>
        <v>-17.94</v>
      </c>
      <c r="F252">
        <f t="shared" si="65"/>
        <v>-17.94</v>
      </c>
      <c r="G252">
        <f t="shared" si="66"/>
        <v>70.02451433188</v>
      </c>
      <c r="H252">
        <f t="shared" si="67"/>
        <v>70.02451433188</v>
      </c>
      <c r="I252">
        <f t="shared" si="68"/>
        <v>-77.8396999284454</v>
      </c>
      <c r="J252">
        <f t="shared" si="69"/>
        <v>104.701726310344</v>
      </c>
      <c r="K252" s="6">
        <f t="shared" si="70"/>
        <v>18.1896</v>
      </c>
      <c r="N252" s="6">
        <f t="shared" si="71"/>
        <v>-165.6</v>
      </c>
      <c r="O252" s="6">
        <f t="shared" si="72"/>
        <v>-35.0652740902446</v>
      </c>
      <c r="P252" s="7">
        <f t="shared" si="73"/>
        <v>-136.570225719137</v>
      </c>
      <c r="Q252" s="7"/>
      <c r="R252" s="7">
        <f t="shared" si="74"/>
        <v>331.813795417738</v>
      </c>
      <c r="S252" s="7">
        <f t="shared" si="75"/>
        <v>-88.770646717439</v>
      </c>
      <c r="T252" s="7">
        <f t="shared" si="76"/>
        <v>-88.770646717439</v>
      </c>
      <c r="U252" s="7">
        <f t="shared" si="77"/>
        <v>-1140.67900173481</v>
      </c>
      <c r="V252" s="7">
        <f t="shared" si="78"/>
        <v>-1140.67900173481</v>
      </c>
      <c r="W252" s="7">
        <f t="shared" si="79"/>
        <v>16.249323078278</v>
      </c>
      <c r="X252" s="7">
        <f t="shared" si="80"/>
        <v>1140.79473416527</v>
      </c>
      <c r="Y252" s="7">
        <f t="shared" si="81"/>
        <v>161.837125729034</v>
      </c>
    </row>
    <row r="253" ht="14.25">
      <c r="A253">
        <v>-93</v>
      </c>
      <c r="B253">
        <f t="shared" si="63"/>
        <v>-27.9</v>
      </c>
      <c r="E253">
        <f t="shared" si="64"/>
        <v>-18.135</v>
      </c>
      <c r="F253">
        <f t="shared" si="65"/>
        <v>-18.135</v>
      </c>
      <c r="G253">
        <f t="shared" si="66"/>
        <v>66.789930535744</v>
      </c>
      <c r="H253">
        <f t="shared" si="67"/>
        <v>66.789930535744</v>
      </c>
      <c r="I253">
        <f t="shared" si="68"/>
        <v>-78.0346999284454</v>
      </c>
      <c r="J253">
        <f t="shared" si="69"/>
        <v>102.714698139517</v>
      </c>
      <c r="K253" s="6">
        <f t="shared" si="70"/>
        <v>17.8854</v>
      </c>
      <c r="N253" s="6">
        <f t="shared" si="71"/>
        <v>-167.4</v>
      </c>
      <c r="O253" s="6">
        <f t="shared" si="72"/>
        <v>-30.7581970369125</v>
      </c>
      <c r="P253" s="7">
        <f t="shared" si="73"/>
        <v>-137.604263433363</v>
      </c>
      <c r="Q253" s="7"/>
      <c r="R253" s="7">
        <f t="shared" si="74"/>
        <v>334.613395502404</v>
      </c>
      <c r="S253" s="7">
        <f t="shared" si="75"/>
        <v>-89.4427712316862</v>
      </c>
      <c r="T253" s="7">
        <f t="shared" si="76"/>
        <v>-89.4427712316862</v>
      </c>
      <c r="U253" s="7">
        <f t="shared" si="77"/>
        <v>-1149.02834043358</v>
      </c>
      <c r="V253" s="7">
        <f t="shared" si="78"/>
        <v>-1149.02834043358</v>
      </c>
      <c r="W253" s="7">
        <f t="shared" si="79"/>
        <v>2.67756741086652</v>
      </c>
      <c r="X253" s="7">
        <f t="shared" si="80"/>
        <v>1149.03146018148</v>
      </c>
      <c r="Y253" s="7">
        <f t="shared" si="81"/>
        <v>143.571148404768</v>
      </c>
    </row>
    <row r="254" ht="14.25">
      <c r="A254">
        <v>-94</v>
      </c>
      <c r="B254">
        <f t="shared" si="63"/>
        <v>-28.2</v>
      </c>
      <c r="E254">
        <f t="shared" si="64"/>
        <v>-18.33</v>
      </c>
      <c r="F254">
        <f t="shared" si="65"/>
        <v>-18.33</v>
      </c>
      <c r="G254">
        <f t="shared" si="66"/>
        <v>63.5553467396079</v>
      </c>
      <c r="H254">
        <f t="shared" si="67"/>
        <v>63.5553467396079</v>
      </c>
      <c r="I254">
        <f t="shared" si="68"/>
        <v>-78.2296999284454</v>
      </c>
      <c r="J254">
        <f t="shared" si="69"/>
        <v>100.792698396691</v>
      </c>
      <c r="K254" s="6">
        <f t="shared" si="70"/>
        <v>17.5812</v>
      </c>
      <c r="N254" s="6">
        <f t="shared" si="71"/>
        <v>-169.2</v>
      </c>
      <c r="O254" s="6">
        <f t="shared" si="72"/>
        <v>-26.4207653565872</v>
      </c>
      <c r="P254" s="7">
        <f t="shared" si="73"/>
        <v>-138.502502352745</v>
      </c>
      <c r="Q254" s="7"/>
      <c r="R254" s="7">
        <f t="shared" si="74"/>
        <v>337.432726094615</v>
      </c>
      <c r="S254" s="7">
        <f t="shared" si="75"/>
        <v>-90.0266265292843</v>
      </c>
      <c r="T254" s="7">
        <f t="shared" si="76"/>
        <v>-90.0266265292843</v>
      </c>
      <c r="U254" s="7">
        <f t="shared" si="77"/>
        <v>-1155.89377335367</v>
      </c>
      <c r="V254" s="7">
        <f t="shared" si="78"/>
        <v>-1155.89377335367</v>
      </c>
      <c r="W254" s="7">
        <f t="shared" si="79"/>
        <v>-10.8968306923123</v>
      </c>
      <c r="X254" s="7">
        <f t="shared" si="80"/>
        <v>1155.94513546142</v>
      </c>
      <c r="Y254" s="7">
        <f t="shared" si="81"/>
        <v>124.528382223987</v>
      </c>
    </row>
    <row r="255" ht="14.25">
      <c r="A255">
        <v>-95</v>
      </c>
      <c r="B255">
        <f t="shared" si="63"/>
        <v>-28.5</v>
      </c>
      <c r="E255">
        <f t="shared" si="64"/>
        <v>-18.525</v>
      </c>
      <c r="F255">
        <f t="shared" si="65"/>
        <v>-18.525</v>
      </c>
      <c r="G255">
        <f t="shared" si="66"/>
        <v>60.3207629434718</v>
      </c>
      <c r="H255">
        <f t="shared" si="67"/>
        <v>60.3207629434718</v>
      </c>
      <c r="I255">
        <f t="shared" si="68"/>
        <v>-78.4246999284454</v>
      </c>
      <c r="J255">
        <f t="shared" si="69"/>
        <v>98.939516882534</v>
      </c>
      <c r="K255" s="6">
        <f t="shared" si="70"/>
        <v>17.277</v>
      </c>
      <c r="N255" s="6">
        <f t="shared" si="71"/>
        <v>-171</v>
      </c>
      <c r="O255" s="6">
        <f t="shared" si="72"/>
        <v>-22.0572595706726</v>
      </c>
      <c r="P255" s="7">
        <f t="shared" si="73"/>
        <v>-139.264056023914</v>
      </c>
      <c r="Q255" s="7"/>
      <c r="R255" s="7">
        <f t="shared" si="74"/>
        <v>340.269004855459</v>
      </c>
      <c r="S255" s="7">
        <f t="shared" si="75"/>
        <v>-90.5216364155444</v>
      </c>
      <c r="T255" s="7">
        <f t="shared" si="76"/>
        <v>-90.5216364155444</v>
      </c>
      <c r="U255" s="7">
        <f t="shared" si="77"/>
        <v>-1161.26852514166</v>
      </c>
      <c r="V255" s="7">
        <f t="shared" si="78"/>
        <v>-1161.26852514166</v>
      </c>
      <c r="W255" s="7">
        <f t="shared" si="79"/>
        <v>-24.4604749391885</v>
      </c>
      <c r="X255" s="7">
        <f t="shared" si="80"/>
        <v>1161.52610918521</v>
      </c>
      <c r="Y255" s="7">
        <f t="shared" si="81"/>
        <v>104.813619135248</v>
      </c>
    </row>
    <row r="256" ht="14.25">
      <c r="A256">
        <v>-96</v>
      </c>
      <c r="B256">
        <f t="shared" si="63"/>
        <v>-28.8</v>
      </c>
      <c r="E256">
        <f t="shared" si="64"/>
        <v>-18.72</v>
      </c>
      <c r="F256">
        <f t="shared" si="65"/>
        <v>-18.72</v>
      </c>
      <c r="G256">
        <f t="shared" si="66"/>
        <v>57.0861791473358</v>
      </c>
      <c r="H256">
        <f t="shared" si="67"/>
        <v>57.0861791473358</v>
      </c>
      <c r="I256">
        <f t="shared" si="68"/>
        <v>-78.6196999284454</v>
      </c>
      <c r="J256">
        <f t="shared" si="69"/>
        <v>97.1590915276616</v>
      </c>
      <c r="K256" s="6">
        <f t="shared" si="70"/>
        <v>16.9728</v>
      </c>
      <c r="N256" s="6">
        <f t="shared" si="71"/>
        <v>-172.8</v>
      </c>
      <c r="O256" s="6">
        <f t="shared" si="72"/>
        <v>-17.6719859325669</v>
      </c>
      <c r="P256" s="7">
        <f t="shared" si="73"/>
        <v>-139.888172885341</v>
      </c>
      <c r="Q256" s="7"/>
      <c r="R256" s="7">
        <f t="shared" si="74"/>
        <v>343.119432720228</v>
      </c>
      <c r="S256" s="7">
        <f t="shared" si="75"/>
        <v>-90.9273123754719</v>
      </c>
      <c r="T256" s="7">
        <f t="shared" si="76"/>
        <v>-90.9273123754719</v>
      </c>
      <c r="U256" s="7">
        <f t="shared" si="77"/>
        <v>-1165.14729156645</v>
      </c>
      <c r="V256" s="7">
        <f t="shared" si="78"/>
        <v>-1165.14729156645</v>
      </c>
      <c r="W256" s="7">
        <f t="shared" si="79"/>
        <v>-37.9999796504487</v>
      </c>
      <c r="X256" s="7">
        <f t="shared" si="80"/>
        <v>1165.76679035649</v>
      </c>
      <c r="Y256" s="7">
        <f t="shared" si="81"/>
        <v>84.534481323355</v>
      </c>
    </row>
    <row r="257" ht="14.25">
      <c r="A257">
        <v>-97</v>
      </c>
      <c r="B257">
        <f t="shared" si="63"/>
        <v>-29.1</v>
      </c>
      <c r="E257">
        <f t="shared" si="64"/>
        <v>-18.915</v>
      </c>
      <c r="F257">
        <f t="shared" si="65"/>
        <v>-18.915</v>
      </c>
      <c r="G257">
        <f t="shared" si="66"/>
        <v>53.8515953511997</v>
      </c>
      <c r="H257">
        <f t="shared" si="67"/>
        <v>53.8515953511997</v>
      </c>
      <c r="I257">
        <f t="shared" si="68"/>
        <v>-78.8146999284454</v>
      </c>
      <c r="J257">
        <f t="shared" si="69"/>
        <v>95.4554935385085</v>
      </c>
      <c r="K257" s="6">
        <f t="shared" si="70"/>
        <v>16.6686</v>
      </c>
      <c r="N257" s="6">
        <f t="shared" si="71"/>
        <v>-174.6</v>
      </c>
      <c r="O257" s="6">
        <f t="shared" si="72"/>
        <v>-13.2692721779105</v>
      </c>
      <c r="P257" s="7">
        <f t="shared" si="73"/>
        <v>-140.374237009034</v>
      </c>
      <c r="Q257" s="7"/>
      <c r="R257" s="7">
        <f t="shared" si="74"/>
        <v>345.981196660755</v>
      </c>
      <c r="S257" s="7">
        <f t="shared" si="75"/>
        <v>-91.2432540558723</v>
      </c>
      <c r="T257" s="7">
        <f t="shared" si="76"/>
        <v>-91.2432540558723</v>
      </c>
      <c r="U257" s="7">
        <f t="shared" si="77"/>
        <v>-1167.52624475386</v>
      </c>
      <c r="V257" s="7">
        <f t="shared" si="78"/>
        <v>-1167.52624475386</v>
      </c>
      <c r="W257" s="7">
        <f t="shared" si="79"/>
        <v>-51.5019829695868</v>
      </c>
      <c r="X257" s="7">
        <f t="shared" si="80"/>
        <v>1168.66162187301</v>
      </c>
      <c r="Y257" s="7">
        <f t="shared" si="81"/>
        <v>63.8009670479576</v>
      </c>
    </row>
    <row r="258" ht="14.25">
      <c r="A258">
        <v>-98</v>
      </c>
      <c r="B258">
        <f t="shared" si="63"/>
        <v>-29.4</v>
      </c>
      <c r="E258">
        <f t="shared" si="64"/>
        <v>-19.11</v>
      </c>
      <c r="F258">
        <f t="shared" si="65"/>
        <v>-19.11</v>
      </c>
      <c r="G258">
        <f t="shared" si="66"/>
        <v>50.6170115550638</v>
      </c>
      <c r="H258">
        <f t="shared" si="67"/>
        <v>50.6170115550638</v>
      </c>
      <c r="I258">
        <f t="shared" si="68"/>
        <v>-79.0096999284454</v>
      </c>
      <c r="J258">
        <f t="shared" si="69"/>
        <v>93.8329075620512</v>
      </c>
      <c r="K258" s="6">
        <f t="shared" si="70"/>
        <v>16.3644</v>
      </c>
      <c r="N258" s="6">
        <f t="shared" si="71"/>
        <v>-176.4</v>
      </c>
      <c r="O258" s="6">
        <f t="shared" si="72"/>
        <v>-8.85346325363322</v>
      </c>
      <c r="P258" s="7">
        <f t="shared" si="73"/>
        <v>-140.721768708386</v>
      </c>
      <c r="Q258" s="7"/>
      <c r="R258" s="7">
        <f t="shared" si="74"/>
        <v>348.851472461535</v>
      </c>
      <c r="S258" s="7">
        <f t="shared" si="75"/>
        <v>-91.4691496604511</v>
      </c>
      <c r="T258" s="7">
        <f t="shared" si="76"/>
        <v>-91.4691496604511</v>
      </c>
      <c r="U258" s="7">
        <f t="shared" si="77"/>
        <v>-1168.4030369643</v>
      </c>
      <c r="V258" s="7">
        <f t="shared" si="78"/>
        <v>-1168.4030369643</v>
      </c>
      <c r="W258" s="7">
        <f t="shared" si="79"/>
        <v>-64.9531600494437</v>
      </c>
      <c r="X258" s="7">
        <f t="shared" si="80"/>
        <v>1170.20706278326</v>
      </c>
      <c r="Y258" s="7">
        <f t="shared" si="81"/>
        <v>42.7249869580823</v>
      </c>
    </row>
    <row r="259" ht="14.25">
      <c r="A259">
        <v>-99</v>
      </c>
      <c r="B259">
        <f t="shared" si="63"/>
        <v>-29.7</v>
      </c>
      <c r="E259">
        <f t="shared" si="64"/>
        <v>-19.305</v>
      </c>
      <c r="F259">
        <f t="shared" si="65"/>
        <v>-19.305</v>
      </c>
      <c r="G259">
        <f t="shared" si="66"/>
        <v>47.3824277589276</v>
      </c>
      <c r="H259">
        <f t="shared" si="67"/>
        <v>47.3824277589276</v>
      </c>
      <c r="I259">
        <f t="shared" si="68"/>
        <v>-79.2046999284454</v>
      </c>
      <c r="J259">
        <f t="shared" si="69"/>
        <v>92.2956063476755</v>
      </c>
      <c r="K259" s="6">
        <f t="shared" si="70"/>
        <v>16.0602</v>
      </c>
      <c r="N259" s="6">
        <f t="shared" si="71"/>
        <v>-178.2</v>
      </c>
      <c r="O259" s="6">
        <f t="shared" si="72"/>
        <v>-4.42891703001608</v>
      </c>
      <c r="P259" s="7">
        <f t="shared" si="73"/>
        <v>-140.930425011568</v>
      </c>
      <c r="Q259" s="7"/>
      <c r="R259" s="7">
        <f t="shared" si="74"/>
        <v>351.727427506886</v>
      </c>
      <c r="S259" s="7">
        <f t="shared" si="75"/>
        <v>-91.6047762575193</v>
      </c>
      <c r="T259" s="7">
        <f t="shared" si="76"/>
        <v>-91.6047762575193</v>
      </c>
      <c r="U259" s="7">
        <f t="shared" si="77"/>
        <v>-1167.77680290973</v>
      </c>
      <c r="V259" s="7">
        <f t="shared" si="78"/>
        <v>-1167.77680290973</v>
      </c>
      <c r="W259" s="7">
        <f t="shared" si="79"/>
        <v>-78.3402362022221</v>
      </c>
      <c r="X259" s="7">
        <f t="shared" si="80"/>
        <v>1170.40157810142</v>
      </c>
      <c r="Y259" s="7">
        <f t="shared" si="81"/>
        <v>21.4198927417226</v>
      </c>
    </row>
    <row r="260" ht="14.25">
      <c r="A260">
        <v>-100</v>
      </c>
      <c r="B260">
        <f t="shared" si="63"/>
        <v>-30</v>
      </c>
      <c r="E260">
        <f t="shared" si="64"/>
        <v>-19.5</v>
      </c>
      <c r="F260">
        <f t="shared" si="65"/>
        <v>-19.5</v>
      </c>
      <c r="G260">
        <f t="shared" si="66"/>
        <v>44.1478439627916</v>
      </c>
      <c r="H260">
        <f t="shared" si="67"/>
        <v>44.1478439627916</v>
      </c>
      <c r="I260">
        <f t="shared" si="68"/>
        <v>-79.3996999284454</v>
      </c>
      <c r="J260">
        <f t="shared" si="69"/>
        <v>90.8479194879562</v>
      </c>
      <c r="K260" s="6">
        <f t="shared" si="70"/>
        <v>15.756</v>
      </c>
      <c r="N260" s="6">
        <f t="shared" si="71"/>
        <v>-180</v>
      </c>
      <c r="O260" s="6">
        <f t="shared" si="72"/>
        <v>-1.72675198679777e-14</v>
      </c>
      <c r="P260" s="7">
        <f t="shared" si="73"/>
        <v>-141</v>
      </c>
      <c r="Q260" s="7"/>
      <c r="R260" s="7">
        <f t="shared" si="74"/>
        <v>354.606223576397</v>
      </c>
      <c r="S260" s="7">
        <f t="shared" si="75"/>
        <v>-91.65</v>
      </c>
      <c r="T260" s="7">
        <f t="shared" si="76"/>
        <v>-91.65</v>
      </c>
      <c r="U260" s="7">
        <f t="shared" si="77"/>
        <v>-1165.64816060755</v>
      </c>
      <c r="V260" s="7">
        <f t="shared" si="78"/>
        <v>-1165.64816060755</v>
      </c>
      <c r="W260" s="7">
        <f t="shared" si="79"/>
        <v>-91.6499999999999</v>
      </c>
      <c r="X260" s="7">
        <f t="shared" si="80"/>
        <v>1169.2456357959</v>
      </c>
      <c r="Y260" s="7">
        <f t="shared" si="81"/>
        <v>8.35730694090252e-14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2026-10-26T07:05:00Z</dcterms:modified>
</cp:coreProperties>
</file>
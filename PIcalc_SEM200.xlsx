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theme/theme1.xml" ContentType="application/vnd.openxmlformats-officedocument.theme+xml"/>
  <Override PartName="/xl/charts/style1.xml" ContentType="application/vnd.ms-office.chartstyle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  <sheet name="Лист2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<sst xmlns="http://schemas.openxmlformats.org/spreadsheetml/2006/main" count="23" uniqueCount="23">
  <si>
    <t>fpwm</t>
  </si>
  <si>
    <t>L</t>
  </si>
  <si>
    <t>R</t>
  </si>
  <si>
    <t>Udc</t>
  </si>
  <si>
    <t>T</t>
  </si>
  <si>
    <t>1/T</t>
  </si>
  <si>
    <t>kb</t>
  </si>
  <si>
    <t>bw</t>
  </si>
  <si>
    <t>fсрез</t>
  </si>
  <si>
    <t>кратн_f</t>
  </si>
  <si>
    <t>Kp</t>
  </si>
  <si>
    <t>Ki</t>
  </si>
  <si>
    <t>kp_anuch</t>
  </si>
  <si>
    <t>ki_anuch</t>
  </si>
  <si>
    <t>bw_anuch</t>
  </si>
  <si>
    <t>tau</t>
  </si>
  <si>
    <t>wmax</t>
  </si>
  <si>
    <t>dw</t>
  </si>
  <si>
    <t>w</t>
  </si>
  <si>
    <t>pT</t>
  </si>
  <si>
    <t>w(p)</t>
  </si>
  <si>
    <t>abs(w(p))</t>
  </si>
  <si>
    <t>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</si>
</sst>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11" xfId="0" applyNumberFormat="1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/>
              <a:t>ЛАЧХ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smoothMarker"/>
        <c:varyColors val="0"/>
        <c:ser>
          <c:idx val="1"/>
          <c:order val="0"/>
          <c:tx>
            <c:v>L</c:v>
          </c:tx>
          <c:spPr bwMode="auto">
            <a:prstGeom prst="rect">
              <a:avLst/>
            </a:prstGeom>
            <a:solidFill>
              <a:schemeClr val="accent2"/>
            </a:solidFill>
            <a:ln w="19050" cap="rnd">
              <a:solidFill>
                <a:schemeClr val="accent2"/>
              </a:solidFill>
              <a:round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2"/>
              </a:solidFill>
              <a:ln w="9525">
                <a:solidFill>
                  <a:schemeClr val="accent2"/>
                </a:solidFill>
              </a:ln>
            </c:spPr>
          </c:marker>
          <c:xVal>
            <c:numRef>
              <c:f>'Лист1'!$C$55:$C$155</c:f>
            </c:numRef>
          </c:xVal>
          <c:yVal>
            <c:numRef>
              <c:f>'Лист1'!$G$55:$G$155</c:f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001"/>
        <c:axId val="1002"/>
      </c:scatterChart>
      <c:valAx>
        <c:axId val="1001"/>
        <c:scaling>
          <c:logBase val="10.000000"/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002"/>
        <c:crosses val="autoZero"/>
        <c:crossBetween val="between"/>
      </c:valAx>
      <c:valAx>
        <c:axId val="100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00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 rot="0">
      <a:off x="6086474" y="171449"/>
      <a:ext cx="4552949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9</xdr:col>
      <xdr:colOff>600074</xdr:colOff>
      <xdr:row>0</xdr:row>
      <xdr:rowOff>171449</xdr:rowOff>
    </xdr:from>
    <xdr:to>
      <xdr:col>17</xdr:col>
      <xdr:colOff>276224</xdr:colOff>
      <xdr:row>15</xdr:row>
      <xdr:rowOff>180974</xdr:rowOff>
    </xdr:to>
    <xdr:graphicFrame>
      <xdr:nvGraphicFramePr>
        <xdr:cNvPr id="1706774217" name=""/>
        <xdr:cNvGraphicFramePr>
          <a:graphicFrameLocks xmlns:a="http://schemas.openxmlformats.org/drawingml/2006/main"/>
        </xdr:cNvGraphicFramePr>
      </xdr:nvGraphicFramePr>
      <xdr:xfrm rot="0">
        <a:off x="6086474" y="171449"/>
        <a:ext cx="4552949" cy="27241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" activeCellId="0" sqref="B1"/>
    </sheetView>
  </sheetViews>
  <sheetFormatPr defaultRowHeight="14.25"/>
  <cols>
    <col customWidth="1" min="4" max="4" width="11.28125"/>
    <col bestFit="1" min="5" max="5" width="11.421875"/>
    <col bestFit="1" min="7" max="7" width="11.421875"/>
  </cols>
  <sheetData>
    <row r="1" ht="14.25">
      <c r="A1" t="s">
        <v>0</v>
      </c>
      <c r="B1">
        <v>10000</v>
      </c>
    </row>
    <row r="2" ht="14.25">
      <c r="A2" t="s">
        <v>1</v>
      </c>
      <c r="B2" s="1">
        <v>4.9e-05</v>
      </c>
    </row>
    <row r="3" ht="14.25">
      <c r="A3" t="s">
        <v>2</v>
      </c>
      <c r="B3" s="1">
        <v>0.0013</v>
      </c>
    </row>
    <row r="4" ht="14.25">
      <c r="A4" t="s">
        <v>3</v>
      </c>
      <c r="B4">
        <v>400</v>
      </c>
    </row>
    <row r="5" ht="14.25">
      <c r="A5" t="s">
        <v>4</v>
      </c>
      <c r="B5">
        <f>1/B1</f>
        <v>0.0001</v>
      </c>
      <c r="D5" t="s">
        <v>5</v>
      </c>
      <c r="E5">
        <f>1/B5</f>
        <v>10000</v>
      </c>
    </row>
    <row r="10" ht="14.25">
      <c r="A10" t="s">
        <v>6</v>
      </c>
      <c r="B10">
        <f>B3/B2</f>
        <v>26.530612244898</v>
      </c>
    </row>
    <row r="11" ht="14.25">
      <c r="A11" t="s">
        <v>7</v>
      </c>
      <c r="B11">
        <v>20000</v>
      </c>
      <c r="D11" t="s">
        <v>8</v>
      </c>
      <c r="E11">
        <f>B11/(2*PI())</f>
        <v>3183.09886183791</v>
      </c>
      <c r="G11" t="s">
        <v>9</v>
      </c>
      <c r="H11">
        <f>B1/E11</f>
        <v>3.14159265358979</v>
      </c>
    </row>
    <row r="13" ht="14.25">
      <c r="A13" t="s">
        <v>10</v>
      </c>
      <c r="B13">
        <f>B2*B11</f>
        <v>0.98</v>
      </c>
    </row>
    <row r="14" ht="14.25">
      <c r="A14" t="s">
        <v>11</v>
      </c>
      <c r="B14">
        <f>B10*B13</f>
        <v>26</v>
      </c>
    </row>
    <row r="17" ht="14.25">
      <c r="A17" t="s">
        <v>12</v>
      </c>
      <c r="B17">
        <f>B2/(B5)</f>
        <v>0.49</v>
      </c>
    </row>
    <row r="19" ht="14.25">
      <c r="A19" t="s">
        <v>13</v>
      </c>
      <c r="B19">
        <f>B17*B10</f>
        <v>13</v>
      </c>
    </row>
    <row r="21" ht="14.25">
      <c r="A21" t="s">
        <v>14</v>
      </c>
      <c r="B21">
        <f>B17/B2</f>
        <v>10000</v>
      </c>
    </row>
    <row r="50" ht="14.25">
      <c r="A50" t="s">
        <v>7</v>
      </c>
      <c r="B50">
        <f>'Лист1'!B11</f>
        <v>20000</v>
      </c>
      <c r="C50" t="s">
        <v>15</v>
      </c>
      <c r="D50">
        <f>1/B50</f>
        <v>5e-05</v>
      </c>
    </row>
    <row r="51" ht="14.25">
      <c r="A51" t="s">
        <v>16</v>
      </c>
      <c r="B51">
        <f>5*B50</f>
        <v>100000</v>
      </c>
    </row>
    <row r="52" ht="14.25">
      <c r="B52">
        <f>ROUNDUP(LOG(B1),0)</f>
        <v>4</v>
      </c>
    </row>
    <row r="53" ht="14.25">
      <c r="A53" t="s">
        <v>17</v>
      </c>
      <c r="B53">
        <f>B52/50</f>
        <v>0.08</v>
      </c>
    </row>
    <row r="54" ht="14.25">
      <c r="C54" t="s">
        <v>18</v>
      </c>
      <c r="D54" t="s">
        <v>19</v>
      </c>
      <c r="E54" t="s">
        <v>20</v>
      </c>
      <c r="F54" t="s">
        <v>21</v>
      </c>
      <c r="G54" t="s">
        <v>1</v>
      </c>
    </row>
    <row r="55" ht="14.25">
      <c r="B55">
        <v>0</v>
      </c>
      <c r="C55">
        <f t="shared" ref="C55:C99" si="0">10^B55</f>
        <v>1</v>
      </c>
      <c r="D55" t="str">
        <f t="shared" ref="D55:D99" si="1">COMPLEX(1,C55*$D$50)</f>
        <v>1+0.00005i</v>
      </c>
      <c r="E55" s="2" t="str">
        <f t="shared" ref="E55:E99" si="2">IMPOWER(D55,-1)</f>
        <v>0.9999999975000002-0.00004999999754949213i</v>
      </c>
      <c r="F55" s="2">
        <f t="shared" ref="F55:F99" si="3">IMABS(E55)</f>
        <v>0.99999999875</v>
      </c>
      <c r="G55">
        <f t="shared" ref="G55:G99" si="4">20*LOG(F55,10)</f>
        <v>-1.08573600597269e-08</v>
      </c>
      <c r="J55" t="s">
        <v>22</v>
      </c>
    </row>
    <row r="56" ht="14.25">
      <c r="B56">
        <f t="shared" ref="B56:B100" si="5">B55+$B$53</f>
        <v>0.08</v>
      </c>
      <c r="C56">
        <f t="shared" si="0"/>
        <v>1.20226443461741</v>
      </c>
      <c r="D56" t="str">
        <f t="shared" si="1"/>
        <v>1+0.00006011322173087065i</v>
      </c>
      <c r="E56" s="2" t="str">
        <f t="shared" si="2"/>
        <v>0.9999999963864008-0.00006011321968857383i</v>
      </c>
      <c r="F56" s="2">
        <f t="shared" si="3"/>
        <v>0.999999998193201</v>
      </c>
      <c r="G56">
        <f t="shared" si="4"/>
        <v>-1.56936609633416e-08</v>
      </c>
    </row>
    <row r="57" ht="14.25">
      <c r="B57" s="2">
        <f t="shared" si="5"/>
        <v>0.16</v>
      </c>
      <c r="C57">
        <f t="shared" si="0"/>
        <v>1.44543977074593</v>
      </c>
      <c r="D57" t="str">
        <f t="shared" si="1"/>
        <v>1+0.00007227198853729637i</v>
      </c>
      <c r="E57" s="2" t="str">
        <f t="shared" si="2"/>
        <v>0.9999999947767599-0.00007227198647185365i</v>
      </c>
      <c r="F57" s="2">
        <f t="shared" si="3"/>
        <v>0.99999999738838</v>
      </c>
      <c r="G57">
        <f t="shared" si="4"/>
        <v>-2.2684244362774e-08</v>
      </c>
    </row>
    <row r="58" ht="14.25">
      <c r="B58" s="2">
        <f t="shared" si="5"/>
        <v>0.24</v>
      </c>
      <c r="C58">
        <f t="shared" si="0"/>
        <v>1.73780082874938</v>
      </c>
      <c r="D58" t="str">
        <f t="shared" si="1"/>
        <v>1+0.00008689004143746878i</v>
      </c>
      <c r="E58" s="2" t="str">
        <f t="shared" si="2"/>
        <v>0.9999999924501206-0.00008689004152999734i</v>
      </c>
      <c r="F58" s="2">
        <f t="shared" si="3"/>
        <v>0.99999999622506</v>
      </c>
      <c r="G58">
        <f t="shared" si="4"/>
        <v>-3.27887086714523e-08</v>
      </c>
    </row>
    <row r="59" ht="14.25">
      <c r="B59" s="2">
        <f t="shared" si="5"/>
        <v>0.32</v>
      </c>
      <c r="C59">
        <f t="shared" si="0"/>
        <v>2.08929613085404</v>
      </c>
      <c r="D59" t="str">
        <f t="shared" si="1"/>
        <v>1+0.00010446480654270199i</v>
      </c>
      <c r="E59" s="2" t="str">
        <f t="shared" si="2"/>
        <v>0.9999999890871045-0.00010446480425149489i</v>
      </c>
      <c r="F59" s="2">
        <f t="shared" si="3"/>
        <v>0.999999994543552</v>
      </c>
      <c r="G59">
        <f t="shared" si="4"/>
        <v>-4.73941029981657e-08</v>
      </c>
    </row>
    <row r="60" ht="14.25">
      <c r="B60" s="2">
        <f t="shared" si="5"/>
        <v>0.4</v>
      </c>
      <c r="C60">
        <f t="shared" si="0"/>
        <v>2.51188643150958</v>
      </c>
      <c r="D60" t="str">
        <f t="shared" si="1"/>
        <v>1+0.000125594321575479i</v>
      </c>
      <c r="E60" s="2" t="str">
        <f t="shared" si="2"/>
        <v>0.9999999842260666-0.00012559431986241675i</v>
      </c>
      <c r="F60" s="2">
        <f t="shared" si="3"/>
        <v>0.999999992113033</v>
      </c>
      <c r="G60">
        <f t="shared" si="4"/>
        <v>-6.85053239724674e-08</v>
      </c>
    </row>
    <row r="61" ht="14.25">
      <c r="B61" s="2">
        <f t="shared" si="5"/>
        <v>0.48</v>
      </c>
      <c r="C61">
        <f t="shared" si="0"/>
        <v>3.01995172040202</v>
      </c>
      <c r="D61" t="str">
        <f t="shared" si="1"/>
        <v>1+0.00015099758602010082i</v>
      </c>
      <c r="E61" s="2" t="str">
        <f t="shared" si="2"/>
        <v>0.9999999771997293-0.0001509975832014592i</v>
      </c>
      <c r="F61" s="2">
        <f t="shared" si="3"/>
        <v>0.999999988599865</v>
      </c>
      <c r="G61">
        <f t="shared" si="4"/>
        <v>-9.9020317467479e-08</v>
      </c>
    </row>
    <row r="62" ht="14.25">
      <c r="B62" s="2">
        <f t="shared" si="5"/>
        <v>0.56</v>
      </c>
      <c r="C62">
        <f t="shared" si="0"/>
        <v>3.63078054770101</v>
      </c>
      <c r="D62" t="str">
        <f t="shared" si="1"/>
        <v>1+0.0001815390273850507i</v>
      </c>
      <c r="E62" s="2" t="str">
        <f t="shared" si="2"/>
        <v>0.9999999670435826-0.00018153902125238723i</v>
      </c>
      <c r="F62" s="2">
        <f t="shared" si="3"/>
        <v>0.999999983521791</v>
      </c>
      <c r="G62">
        <f t="shared" si="4"/>
        <v>-1.43127903262698e-07</v>
      </c>
    </row>
    <row r="63" ht="14.25">
      <c r="B63" s="2">
        <f t="shared" si="5"/>
        <v>0.64</v>
      </c>
      <c r="C63">
        <f t="shared" si="0"/>
        <v>4.36515832240166</v>
      </c>
      <c r="D63" t="str">
        <f t="shared" si="1"/>
        <v>1+0.00021825791612008303i</v>
      </c>
      <c r="E63" s="2" t="str">
        <f t="shared" si="2"/>
        <v>0.9999999523634843-0.00021825790581464548i</v>
      </c>
      <c r="F63" s="2">
        <f t="shared" si="3"/>
        <v>0.999999976181742</v>
      </c>
      <c r="G63">
        <f t="shared" si="4"/>
        <v>-2.06882762141139e-07</v>
      </c>
    </row>
    <row r="64" ht="14.25">
      <c r="B64" s="2">
        <f t="shared" si="5"/>
        <v>0.72</v>
      </c>
      <c r="C64">
        <f t="shared" si="0"/>
        <v>5.24807460249773</v>
      </c>
      <c r="D64" t="str">
        <f t="shared" si="1"/>
        <v>1+0.0002624037301248863i</v>
      </c>
      <c r="E64" s="2" t="str">
        <f t="shared" si="2"/>
        <v>0.9999999311442874-0.00026240371161808453i</v>
      </c>
      <c r="F64" s="2">
        <f t="shared" si="3"/>
        <v>0.999999965572143</v>
      </c>
      <c r="G64">
        <f t="shared" si="4"/>
        <v>-2.99036568715854e-07</v>
      </c>
    </row>
    <row r="65" ht="14.25">
      <c r="B65" s="2">
        <f t="shared" si="5"/>
        <v>0.8</v>
      </c>
      <c r="C65">
        <f t="shared" si="0"/>
        <v>6.30957344480193</v>
      </c>
      <c r="D65" t="str">
        <f t="shared" si="1"/>
        <v>1+0.0003154786722400966i</v>
      </c>
      <c r="E65" s="2" t="str">
        <f t="shared" si="2"/>
        <v>0.9999999004732174-0.0003154786405665023i</v>
      </c>
      <c r="F65" s="2">
        <f t="shared" si="3"/>
        <v>0.999999950236607</v>
      </c>
      <c r="G65">
        <f t="shared" si="4"/>
        <v>-4.32239346180448e-07</v>
      </c>
    </row>
    <row r="66" ht="14.25">
      <c r="B66" s="2">
        <f t="shared" si="5"/>
        <v>0.88</v>
      </c>
      <c r="C66">
        <f t="shared" si="0"/>
        <v>7.58577575029184</v>
      </c>
      <c r="D66" t="str">
        <f t="shared" si="1"/>
        <v>1+0.0003792887875145918i</v>
      </c>
      <c r="E66" s="2" t="str">
        <f t="shared" si="2"/>
        <v>0.9999998561400366-0.0003792887326756756i</v>
      </c>
      <c r="F66" s="2">
        <f t="shared" si="3"/>
        <v>0.999999928070016</v>
      </c>
      <c r="G66">
        <f t="shared" si="4"/>
        <v>-6.24775926822098e-07</v>
      </c>
    </row>
    <row r="67" ht="14.25">
      <c r="B67" s="2">
        <f t="shared" si="5"/>
        <v>0.96</v>
      </c>
      <c r="C67">
        <f t="shared" si="0"/>
        <v>9.12010839355909</v>
      </c>
      <c r="D67" t="str">
        <f t="shared" si="1"/>
        <v>1+0.00045600541967795476i</v>
      </c>
      <c r="E67" s="2" t="str">
        <f t="shared" si="2"/>
        <v>0.9999997920591003-0.0004560053250140891i</v>
      </c>
      <c r="F67" s="2">
        <f t="shared" si="3"/>
        <v>0.999999896029545</v>
      </c>
      <c r="G67">
        <f t="shared" si="4"/>
        <v>-9.03075945861809e-07</v>
      </c>
    </row>
    <row r="68" ht="14.25">
      <c r="B68" s="2">
        <f t="shared" si="5"/>
        <v>1.04</v>
      </c>
      <c r="C68">
        <f t="shared" si="0"/>
        <v>10.9647819614318</v>
      </c>
      <c r="D68" t="str">
        <f t="shared" si="1"/>
        <v>1+0.0005482390980715924i</v>
      </c>
      <c r="E68" s="2" t="str">
        <f t="shared" si="2"/>
        <v>0.9999996994339814-0.0005482389335336361i</v>
      </c>
      <c r="F68" s="2">
        <f t="shared" si="3"/>
        <v>0.99999984971698</v>
      </c>
      <c r="G68">
        <f t="shared" si="4"/>
        <v>-1.30534182742011e-06</v>
      </c>
    </row>
    <row r="69" ht="14.25">
      <c r="B69" s="2">
        <f t="shared" si="5"/>
        <v>1.12</v>
      </c>
      <c r="C69">
        <f t="shared" si="0"/>
        <v>13.1825673855641</v>
      </c>
      <c r="D69" t="str">
        <f t="shared" si="1"/>
        <v>1+0.0006591283692782033i</v>
      </c>
      <c r="E69" s="2" t="str">
        <f t="shared" si="2"/>
        <v>0.9999995655499817-0.0006591280828070925i</v>
      </c>
      <c r="F69" s="2">
        <f t="shared" si="3"/>
        <v>0.999999782774967</v>
      </c>
      <c r="G69">
        <f t="shared" si="4"/>
        <v>-1.88679286592746e-06</v>
      </c>
    </row>
    <row r="70" ht="14.25">
      <c r="B70" s="2">
        <f t="shared" si="5"/>
        <v>1.2</v>
      </c>
      <c r="C70">
        <f t="shared" si="0"/>
        <v>15.8489319246111</v>
      </c>
      <c r="D70" t="str">
        <f t="shared" si="1"/>
        <v>1+0.0007924465962305567i</v>
      </c>
      <c r="E70" s="2" t="str">
        <f t="shared" si="2"/>
        <v>0.9999993720287863-0.000792446098702499i</v>
      </c>
      <c r="F70" s="2">
        <f t="shared" si="3"/>
        <v>0.999999686014344</v>
      </c>
      <c r="G70">
        <f t="shared" si="4"/>
        <v>-2.72724518341262e-06</v>
      </c>
    </row>
    <row r="71" ht="14.25">
      <c r="B71" s="2">
        <f t="shared" si="5"/>
        <v>1.28</v>
      </c>
      <c r="C71">
        <f t="shared" si="0"/>
        <v>19.0546071796325</v>
      </c>
      <c r="D71" t="str">
        <f t="shared" si="1"/>
        <v>1+0.0009527303589816237i</v>
      </c>
      <c r="E71" s="2" t="str">
        <f t="shared" si="2"/>
        <v>0.9999990923056871-0.0009527294941351324i</v>
      </c>
      <c r="F71" s="2">
        <f t="shared" si="3"/>
        <v>0.999999546152741</v>
      </c>
      <c r="G71">
        <f t="shared" si="4"/>
        <v>-3.94206810065951e-06</v>
      </c>
    </row>
    <row r="72" ht="14.25">
      <c r="B72" s="2">
        <f t="shared" si="5"/>
        <v>1.36</v>
      </c>
      <c r="C72">
        <f t="shared" si="0"/>
        <v>22.9086765276777</v>
      </c>
      <c r="D72" t="str">
        <f t="shared" si="1"/>
        <v>1+0.0011454338263838868i</v>
      </c>
      <c r="E72" s="2" t="str">
        <f t="shared" si="2"/>
        <v>0.9999986879830707-0.0011454323235831098i</v>
      </c>
      <c r="F72" s="2">
        <f t="shared" si="3"/>
        <v>0.99999934399132</v>
      </c>
      <c r="G72">
        <f t="shared" si="4"/>
        <v>-5.69802086256161e-06</v>
      </c>
    </row>
    <row r="73" ht="14.25">
      <c r="B73" s="2">
        <f t="shared" si="5"/>
        <v>1.44</v>
      </c>
      <c r="C73">
        <f t="shared" si="0"/>
        <v>27.5422870333817</v>
      </c>
      <c r="D73" t="str">
        <f t="shared" si="1"/>
        <v>1+0.0013771143516690839i</v>
      </c>
      <c r="E73" s="2" t="str">
        <f t="shared" si="2"/>
        <v>0.9999981035596589-0.001377111740077567i</v>
      </c>
      <c r="F73" s="2">
        <f t="shared" si="3"/>
        <v>0.99999905177938</v>
      </c>
      <c r="G73">
        <f t="shared" si="4"/>
        <v>-8.23614356386174e-06</v>
      </c>
    </row>
    <row r="74" ht="14.25">
      <c r="B74" s="2">
        <f t="shared" si="5"/>
        <v>1.52</v>
      </c>
      <c r="C74">
        <f t="shared" si="0"/>
        <v>33.1131121482591</v>
      </c>
      <c r="D74" t="str">
        <f t="shared" si="1"/>
        <v>1+0.0016556556074129563i</v>
      </c>
      <c r="E74" s="2" t="str">
        <f t="shared" si="2"/>
        <v>0.9999972588120238-0.0016556510689207267i</v>
      </c>
      <c r="F74" s="2">
        <f t="shared" si="3"/>
        <v>0.999998629405073</v>
      </c>
      <c r="G74">
        <f t="shared" si="4"/>
        <v>-1.19048444366074e-05</v>
      </c>
    </row>
    <row r="75" ht="14.25">
      <c r="B75" s="2">
        <f t="shared" si="5"/>
        <v>1.6</v>
      </c>
      <c r="C75">
        <f t="shared" si="0"/>
        <v>39.8107170553498</v>
      </c>
      <c r="D75" t="str">
        <f t="shared" si="1"/>
        <v>1+0.001990535852767488i</v>
      </c>
      <c r="E75" s="2" t="str">
        <f t="shared" si="2"/>
        <v>0.9999960377827181-0.001990527965822909i</v>
      </c>
      <c r="F75" s="2">
        <f t="shared" si="3"/>
        <v>0.999998018889397</v>
      </c>
      <c r="G75">
        <f t="shared" si="4"/>
        <v>-1.72077251066558e-05</v>
      </c>
    </row>
    <row r="76" ht="14.25">
      <c r="B76" s="2">
        <f t="shared" si="5"/>
        <v>1.68</v>
      </c>
      <c r="C76">
        <f t="shared" si="0"/>
        <v>47.8630092322639</v>
      </c>
      <c r="D76" t="str">
        <f t="shared" si="1"/>
        <v>1+0.002393150461613194i</v>
      </c>
      <c r="E76" s="2" t="str">
        <f t="shared" si="2"/>
        <v>0.9999942728636685-0.002393136755676975i</v>
      </c>
      <c r="F76" s="2">
        <f t="shared" si="3"/>
        <v>0.999997136427734</v>
      </c>
      <c r="G76">
        <f t="shared" si="4"/>
        <v>-2.4872708282418e-05</v>
      </c>
    </row>
    <row r="77" ht="14.25">
      <c r="B77" s="2">
        <f t="shared" si="5"/>
        <v>1.76</v>
      </c>
      <c r="C77">
        <f t="shared" si="0"/>
        <v>57.5439937337158</v>
      </c>
      <c r="D77" t="str">
        <f t="shared" si="1"/>
        <v>1+0.0028771996866857876i</v>
      </c>
      <c r="E77" s="2" t="str">
        <f t="shared" si="2"/>
        <v>0.9999917217904921-0.0028771758686544626i</v>
      </c>
      <c r="F77" s="2">
        <f t="shared" si="3"/>
        <v>0.99999586088668</v>
      </c>
      <c r="G77">
        <f t="shared" si="4"/>
        <v>-3.59519559024048e-05</v>
      </c>
    </row>
    <row r="78" ht="14.25">
      <c r="B78" s="2">
        <f t="shared" si="5"/>
        <v>1.84</v>
      </c>
      <c r="C78">
        <f t="shared" si="0"/>
        <v>69.1830970918937</v>
      </c>
      <c r="D78" t="str">
        <f t="shared" si="1"/>
        <v>1+0.0034591548545946866i</v>
      </c>
      <c r="E78" s="2" t="str">
        <f t="shared" si="2"/>
        <v>0.9999880343908693-0.0034591134637255616i</v>
      </c>
      <c r="F78" s="2">
        <f t="shared" si="3"/>
        <v>0.999994017177538</v>
      </c>
      <c r="G78">
        <f t="shared" si="4"/>
        <v>-5.19662910846883e-05</v>
      </c>
    </row>
    <row r="79" ht="14.25">
      <c r="B79" s="2">
        <f t="shared" si="5"/>
        <v>1.92</v>
      </c>
      <c r="C79">
        <f t="shared" si="0"/>
        <v>83.1763771102672</v>
      </c>
      <c r="D79" t="str">
        <f t="shared" si="1"/>
        <v>1+0.004158818855513361i</v>
      </c>
      <c r="E79" s="2" t="str">
        <f t="shared" si="2"/>
        <v>0.9999827045248655-0.004158746926779809i</v>
      </c>
      <c r="F79" s="2">
        <f t="shared" si="3"/>
        <v>0.999991352225041</v>
      </c>
      <c r="G79">
        <f t="shared" si="4"/>
        <v>-7.51139436954567e-05</v>
      </c>
    </row>
    <row r="80" ht="14.25">
      <c r="B80" s="2">
        <f t="shared" si="5"/>
        <v>2</v>
      </c>
      <c r="C80">
        <f t="shared" si="0"/>
        <v>100</v>
      </c>
      <c r="D80" t="str">
        <f t="shared" si="1"/>
        <v>1+0.005000000000000005i</v>
      </c>
      <c r="E80" s="2" t="str">
        <f t="shared" si="2"/>
        <v>0.9999750006249843-0.004999875003126774i</v>
      </c>
      <c r="F80" s="2">
        <f t="shared" si="3"/>
        <v>0.99998750023437</v>
      </c>
      <c r="G80">
        <f t="shared" si="4"/>
        <v>-0.000108572263327292</v>
      </c>
    </row>
    <row r="81" ht="14.25">
      <c r="B81" s="2">
        <f t="shared" si="5"/>
        <v>2.08</v>
      </c>
      <c r="C81">
        <f t="shared" si="0"/>
        <v>120.226443461741</v>
      </c>
      <c r="D81" t="str">
        <f t="shared" si="1"/>
        <v>1+0.006011322173087072i</v>
      </c>
      <c r="E81" s="2" t="str">
        <f t="shared" si="2"/>
        <v>0.9999638653114944-0.00601110495582521i</v>
      </c>
      <c r="F81" s="2">
        <f t="shared" si="3"/>
        <v>0.99998193249253</v>
      </c>
      <c r="G81">
        <f t="shared" si="4"/>
        <v>-0.000156933793625995</v>
      </c>
    </row>
    <row r="82" ht="14.25">
      <c r="B82" s="2">
        <f t="shared" si="5"/>
        <v>2.16</v>
      </c>
      <c r="C82">
        <f t="shared" si="0"/>
        <v>144.543977074593</v>
      </c>
      <c r="D82" t="str">
        <f t="shared" si="1"/>
        <v>1+0.007227198853729647i</v>
      </c>
      <c r="E82" s="2" t="str">
        <f t="shared" si="2"/>
        <v>0.9999477703248097-0.007226821379506604i</v>
      </c>
      <c r="F82" s="2">
        <f t="shared" si="3"/>
        <v>0.999973884821404</v>
      </c>
      <c r="G82">
        <f t="shared" si="4"/>
        <v>-0.000226836521117786</v>
      </c>
    </row>
    <row r="83" ht="14.25">
      <c r="B83" s="2">
        <f t="shared" si="5"/>
        <v>2.24</v>
      </c>
      <c r="C83">
        <f t="shared" si="0"/>
        <v>173.780082874938</v>
      </c>
      <c r="D83" t="str">
        <f t="shared" si="1"/>
        <v>1+0.008689004143746891i</v>
      </c>
      <c r="E83" s="2" t="str">
        <f t="shared" si="2"/>
        <v>0.9999245069066272-0.008688348183958576i</v>
      </c>
      <c r="F83" s="2">
        <f t="shared" si="3"/>
        <v>0.999962252740886</v>
      </c>
      <c r="G83">
        <f t="shared" si="4"/>
        <v>-0.000327874715030291</v>
      </c>
    </row>
    <row r="84" ht="14.25">
      <c r="B84" s="2">
        <f t="shared" si="5"/>
        <v>2.32</v>
      </c>
      <c r="C84">
        <f t="shared" si="0"/>
        <v>208.929613085404</v>
      </c>
      <c r="D84" t="str">
        <f t="shared" si="1"/>
        <v>1+0.010446480654270215i</v>
      </c>
      <c r="E84" s="2" t="str">
        <f t="shared" si="2"/>
        <v>0.9998908829497699-0.010445340765116141i</v>
      </c>
      <c r="F84" s="2">
        <f t="shared" si="3"/>
        <v>0.999945439986487</v>
      </c>
      <c r="G84">
        <f t="shared" si="4"/>
        <v>-0.000473915184548446</v>
      </c>
    </row>
    <row r="85" ht="14.25">
      <c r="B85" s="2">
        <f t="shared" si="5"/>
        <v>2.4</v>
      </c>
      <c r="C85">
        <f t="shared" si="0"/>
        <v>251.188643150958</v>
      </c>
      <c r="D85" t="str">
        <f t="shared" si="1"/>
        <v>1+0.012559432157547925i</v>
      </c>
      <c r="E85" s="2" t="str">
        <f t="shared" si="2"/>
        <v>0.9998422855416539-0.012557451353509205i</v>
      </c>
      <c r="F85" s="2">
        <f t="shared" si="3"/>
        <v>0.99992113966135</v>
      </c>
      <c r="G85">
        <f t="shared" si="4"/>
        <v>-0.000684999208320355</v>
      </c>
    </row>
    <row r="86" ht="14.25">
      <c r="B86" s="2">
        <f t="shared" si="5"/>
        <v>2.48</v>
      </c>
      <c r="C86">
        <f t="shared" si="0"/>
        <v>301.995172040202</v>
      </c>
      <c r="D86" t="str">
        <f t="shared" si="1"/>
        <v>1+0.015099758602010113i</v>
      </c>
      <c r="E86" s="2" t="str">
        <f t="shared" si="2"/>
        <v>0.9997720492635467-0.015096316600915403i</v>
      </c>
      <c r="F86" s="2">
        <f t="shared" si="3"/>
        <v>0.999886018135841</v>
      </c>
      <c r="G86">
        <f t="shared" si="4"/>
        <v>-0.000990090320071123</v>
      </c>
    </row>
    <row r="87" ht="14.25">
      <c r="B87" s="2">
        <f t="shared" si="5"/>
        <v>2.56</v>
      </c>
      <c r="C87">
        <f t="shared" si="0"/>
        <v>363.078054770102</v>
      </c>
      <c r="D87" t="str">
        <f t="shared" si="1"/>
        <v>1+0.018153902738505107i</v>
      </c>
      <c r="E87" s="2" t="str">
        <f t="shared" si="2"/>
        <v>0.9996705443921297-0.018147921833444054i</v>
      </c>
      <c r="F87" s="2">
        <f t="shared" si="3"/>
        <v>0.999835258626205</v>
      </c>
      <c r="G87">
        <f t="shared" si="4"/>
        <v>-0.00143104327086314</v>
      </c>
    </row>
    <row r="88" ht="14.25">
      <c r="B88" s="2">
        <f t="shared" si="5"/>
        <v>2.64</v>
      </c>
      <c r="C88">
        <f t="shared" si="0"/>
        <v>436.515832240167</v>
      </c>
      <c r="D88" t="str">
        <f t="shared" si="1"/>
        <v>1+0.02182579161200835i</v>
      </c>
      <c r="E88" s="2" t="str">
        <f t="shared" si="2"/>
        <v>0.9995238616362462-0.021815399515306456i</v>
      </c>
      <c r="F88" s="2">
        <f t="shared" si="3"/>
        <v>0.999761902472907</v>
      </c>
      <c r="G88">
        <f t="shared" si="4"/>
        <v>-0.00206833508593419</v>
      </c>
    </row>
    <row r="89" ht="14.25">
      <c r="B89" s="2">
        <f t="shared" si="5"/>
        <v>2.72</v>
      </c>
      <c r="C89">
        <f t="shared" si="0"/>
        <v>524.807460249774</v>
      </c>
      <c r="D89" t="str">
        <f t="shared" si="1"/>
        <v>1+0.0262403730124887i</v>
      </c>
      <c r="E89" s="2" t="str">
        <f t="shared" si="2"/>
        <v>0.9993119166089219-0.02622231744764253i</v>
      </c>
      <c r="F89" s="2">
        <f t="shared" si="3"/>
        <v>0.999655899101747</v>
      </c>
      <c r="G89">
        <f t="shared" si="4"/>
        <v>-0.00298933677282102</v>
      </c>
    </row>
    <row r="90" ht="14.25">
      <c r="B90" s="2">
        <f t="shared" si="5"/>
        <v>2.8</v>
      </c>
      <c r="C90">
        <f t="shared" si="0"/>
        <v>630.957344480195</v>
      </c>
      <c r="D90" t="str">
        <f t="shared" si="1"/>
        <v>1+0.03154786722400975i</v>
      </c>
      <c r="E90" s="2" t="str">
        <f t="shared" si="2"/>
        <v>0.9990057216469711-0.03151649986254232i</v>
      </c>
      <c r="F90" s="2">
        <f t="shared" si="3"/>
        <v>0.999502737188334</v>
      </c>
      <c r="G90">
        <f t="shared" si="4"/>
        <v>-0.00432024414066698</v>
      </c>
    </row>
    <row r="91" ht="14.25">
      <c r="B91" s="2">
        <f t="shared" si="5"/>
        <v>2.88</v>
      </c>
      <c r="C91">
        <f t="shared" si="0"/>
        <v>758.577575029186</v>
      </c>
      <c r="D91" t="str">
        <f t="shared" si="1"/>
        <v>1+0.0379288787514593i</v>
      </c>
      <c r="E91" s="2" t="str">
        <f t="shared" si="2"/>
        <v>0.9985634667531609-0.037874392656117896i</v>
      </c>
      <c r="F91" s="2">
        <f t="shared" si="3"/>
        <v>0.999281475237663</v>
      </c>
      <c r="G91">
        <f t="shared" si="4"/>
        <v>-0.00624327002863285</v>
      </c>
    </row>
    <row r="92" ht="14.25">
      <c r="B92" s="2">
        <f t="shared" si="5"/>
        <v>2.96</v>
      </c>
      <c r="C92">
        <f t="shared" si="0"/>
        <v>912.010839355912</v>
      </c>
      <c r="D92" t="str">
        <f t="shared" si="1"/>
        <v>1+0.04560054196779562i</v>
      </c>
      <c r="E92" s="2" t="str">
        <f t="shared" si="2"/>
        <v>0.99792490554322-0.045505916535934283i</v>
      </c>
      <c r="F92" s="2">
        <f t="shared" si="3"/>
        <v>0.998961913960297</v>
      </c>
      <c r="G92">
        <f t="shared" si="4"/>
        <v>-0.00902138407266675</v>
      </c>
    </row>
    <row r="93" ht="14.25">
      <c r="B93" s="2">
        <f t="shared" si="5"/>
        <v>3.04</v>
      </c>
      <c r="C93">
        <f t="shared" si="0"/>
        <v>1096.47819614319</v>
      </c>
      <c r="D93" t="str">
        <f t="shared" si="1"/>
        <v>1+0.05482390980715942i</v>
      </c>
      <c r="E93" s="2" t="str">
        <f t="shared" si="2"/>
        <v>0.9970033458402541-0.05465962150978333i</v>
      </c>
      <c r="F93" s="2">
        <f t="shared" si="3"/>
        <v>0.998500548743091</v>
      </c>
      <c r="G93">
        <f t="shared" si="4"/>
        <v>-0.0130338423847337</v>
      </c>
    </row>
    <row r="94" ht="14.25">
      <c r="B94" s="2">
        <f t="shared" si="5"/>
        <v>3.12</v>
      </c>
      <c r="C94">
        <f t="shared" si="0"/>
        <v>1318.25673855641</v>
      </c>
      <c r="D94" t="str">
        <f t="shared" si="1"/>
        <v>1+0.06591283692782057i</v>
      </c>
      <c r="E94" s="2" t="str">
        <f t="shared" si="2"/>
        <v>0.9956742909799267-0.06562771717458238i</v>
      </c>
      <c r="F94" s="2">
        <f t="shared" si="3"/>
        <v>0.997834801447578</v>
      </c>
      <c r="G94">
        <f t="shared" si="4"/>
        <v>-0.0188270652012133</v>
      </c>
    </row>
    <row r="95" ht="14.25">
      <c r="B95" s="2">
        <f t="shared" si="5"/>
        <v>3.2</v>
      </c>
      <c r="C95">
        <f t="shared" si="0"/>
        <v>1584.89319246112</v>
      </c>
      <c r="D95" t="str">
        <f t="shared" si="1"/>
        <v>1+0.07924465962305595i</v>
      </c>
      <c r="E95" s="2" t="str">
        <f t="shared" si="2"/>
        <v>0.9937594726610961-0.07875013115821636i</v>
      </c>
      <c r="F95" s="2">
        <f t="shared" si="3"/>
        <v>0.996874853058846</v>
      </c>
      <c r="G95">
        <f t="shared" si="4"/>
        <v>-0.0271871855702213</v>
      </c>
    </row>
    <row r="96" ht="14.25">
      <c r="B96" s="2">
        <f t="shared" si="5"/>
        <v>3.28</v>
      </c>
      <c r="C96">
        <f t="shared" si="0"/>
        <v>1905.46071796325</v>
      </c>
      <c r="D96" t="str">
        <f t="shared" si="1"/>
        <v>1+0.09527303589816272i</v>
      </c>
      <c r="E96" s="2" t="str">
        <f t="shared" si="2"/>
        <v>0.9910046985446096-0.09441602621968956i</v>
      </c>
      <c r="F96" s="2">
        <f t="shared" si="3"/>
        <v>0.995492189092717</v>
      </c>
      <c r="G96">
        <f t="shared" si="4"/>
        <v>-0.0392428643585518</v>
      </c>
    </row>
    <row r="97" ht="14.25">
      <c r="B97" s="2">
        <f t="shared" si="5"/>
        <v>3.36</v>
      </c>
      <c r="C97">
        <f t="shared" si="0"/>
        <v>2290.86765276778</v>
      </c>
      <c r="D97" t="str">
        <f t="shared" si="1"/>
        <v>1+0.11454338263838909i</v>
      </c>
      <c r="E97" s="2" t="str">
        <f t="shared" si="2"/>
        <v>0.9870497235362673-0.11306001416613047i</v>
      </c>
      <c r="F97" s="2">
        <f t="shared" si="3"/>
        <v>0.993503761208918</v>
      </c>
      <c r="G97">
        <f t="shared" si="4"/>
        <v>-0.0566096879592851</v>
      </c>
    </row>
    <row r="98" ht="14.25">
      <c r="B98" s="2">
        <f t="shared" si="5"/>
        <v>3.44</v>
      </c>
      <c r="C98">
        <f t="shared" si="0"/>
        <v>2754.22870333818</v>
      </c>
      <c r="D98" t="str">
        <f t="shared" si="1"/>
        <v>1+0.13771143516690887i</v>
      </c>
      <c r="E98" s="2" t="str">
        <f t="shared" si="2"/>
        <v>0.9813885169659617-0.13514842112770667i</v>
      </c>
      <c r="F98" s="2">
        <f t="shared" si="3"/>
        <v>0.990650552397747</v>
      </c>
      <c r="G98">
        <f t="shared" si="4"/>
        <v>-0.0815902791969926</v>
      </c>
    </row>
    <row r="99" ht="14.25">
      <c r="B99" s="2">
        <f t="shared" si="5"/>
        <v>3.52</v>
      </c>
      <c r="C99">
        <f t="shared" si="0"/>
        <v>3311.31121482592</v>
      </c>
      <c r="D99" t="str">
        <f t="shared" si="1"/>
        <v>1+0.16556556074129625i</v>
      </c>
      <c r="E99" s="2" t="str">
        <f t="shared" si="2"/>
        <v>0.9733194121669019-0.16114817425580244i</v>
      </c>
      <c r="F99" s="2">
        <f t="shared" si="3"/>
        <v>0.986569517148641</v>
      </c>
      <c r="G99">
        <f t="shared" si="4"/>
        <v>-0.117446148421336</v>
      </c>
    </row>
    <row r="100" ht="14.25">
      <c r="B100" s="2">
        <f t="shared" si="5"/>
        <v>3.6</v>
      </c>
      <c r="C100">
        <f t="shared" ref="C100:C105" si="6">10^B100</f>
        <v>3981.07170553499</v>
      </c>
      <c r="D100" t="str">
        <f t="shared" ref="D100:D105" si="7">COMPLEX(1,C100*$D$50)</f>
        <v>1+0.1990535852767495i</v>
      </c>
      <c r="E100" s="2" t="str">
        <f t="shared" ref="E100:E105" si="8">IMPOWER(D100,-1)</f>
        <v>0.9618877657055412-0.1914672083975297i</v>
      </c>
      <c r="F100" s="2">
        <f t="shared" ref="F100:F105" si="9">IMABS(E100)</f>
        <v>0.980758770394403</v>
      </c>
      <c r="G100">
        <f t="shared" ref="G100:G105" si="10">20*LOG(F100,10)</f>
        <v>-0.168755990415379</v>
      </c>
    </row>
    <row r="101" ht="14.25">
      <c r="B101" s="2">
        <f t="shared" ref="B101:B105" si="11">B100+$B$53</f>
        <v>3.68</v>
      </c>
      <c r="C101">
        <f t="shared" si="6"/>
        <v>4786.3009232264</v>
      </c>
      <c r="D101" t="str">
        <f t="shared" si="7"/>
        <v>1+0.23931504616132027i</v>
      </c>
      <c r="E101" s="2" t="str">
        <f t="shared" si="8"/>
        <v>0.9458306774035204-0.22635151222361666i</v>
      </c>
      <c r="F101" s="2">
        <f t="shared" si="9"/>
        <v>0.972538265264417</v>
      </c>
      <c r="G101">
        <f t="shared" si="10"/>
        <v>-0.241866040327896</v>
      </c>
    </row>
    <row r="102" ht="14.25">
      <c r="B102" s="2">
        <f t="shared" si="11"/>
        <v>3.76</v>
      </c>
      <c r="C102">
        <f t="shared" si="6"/>
        <v>5754.3993733716</v>
      </c>
      <c r="D102" t="str">
        <f t="shared" si="7"/>
        <v>1+0.2877199686685798i</v>
      </c>
      <c r="E102" s="2" t="str">
        <f t="shared" si="8"/>
        <v>0.9235462718179623-0.26572270439144785i</v>
      </c>
      <c r="F102" s="2">
        <f t="shared" si="9"/>
        <v>0.961013148618666</v>
      </c>
      <c r="G102">
        <f t="shared" si="10"/>
        <v>-0.34541340514176</v>
      </c>
    </row>
    <row r="103" ht="14.25">
      <c r="B103" s="2">
        <f t="shared" si="11"/>
        <v>3.84</v>
      </c>
      <c r="C103">
        <f t="shared" si="6"/>
        <v>6918.3097091894</v>
      </c>
      <c r="D103" t="str">
        <f t="shared" si="7"/>
        <v>1+0.34591548545946993i</v>
      </c>
      <c r="E103" s="2" t="str">
        <f t="shared" si="8"/>
        <v>0.8931302468709973-0.3089475829249175i</v>
      </c>
      <c r="F103" s="2">
        <f t="shared" si="9"/>
        <v>0.945055684534513</v>
      </c>
      <c r="G103">
        <f t="shared" si="10"/>
        <v>-0.490852025082819</v>
      </c>
    </row>
    <row r="104" ht="14.25">
      <c r="B104" s="2">
        <f t="shared" si="11"/>
        <v>3.92</v>
      </c>
      <c r="C104">
        <f t="shared" si="6"/>
        <v>8317.63771102675</v>
      </c>
      <c r="D104" t="str">
        <f t="shared" si="7"/>
        <v>1+0.4158818855513376i</v>
      </c>
      <c r="E104" s="2" t="str">
        <f t="shared" si="8"/>
        <v>0.8525456319276903-0.35455828492464475i</v>
      </c>
      <c r="F104" s="2">
        <f t="shared" si="9"/>
        <v>0.923333976374578</v>
      </c>
      <c r="G104">
        <f t="shared" si="10"/>
        <v>-0.692823663952642</v>
      </c>
    </row>
    <row r="105" ht="14.25">
      <c r="B105" s="2">
        <f t="shared" si="11"/>
        <v>4</v>
      </c>
      <c r="C105">
        <f t="shared" si="6"/>
        <v>10000</v>
      </c>
      <c r="D105" t="str">
        <f t="shared" si="7"/>
        <v>1+0.500000000000002i</v>
      </c>
      <c r="E105" s="2" t="str">
        <f t="shared" si="8"/>
        <v>0.7999999999999986-0.4000000000000011i</v>
      </c>
      <c r="F105" s="2">
        <f t="shared" si="9"/>
        <v>0.894427190999915</v>
      </c>
      <c r="G105">
        <f t="shared" si="10"/>
        <v>-0.969100130080571</v>
      </c>
    </row>
    <row r="106" ht="14.25">
      <c r="E106" s="2"/>
      <c r="F106" s="2"/>
    </row>
    <row r="107" ht="14.25">
      <c r="E107" s="2"/>
      <c r="F107" s="2"/>
    </row>
    <row r="108" ht="14.25">
      <c r="E108" s="2"/>
      <c r="F108" s="2"/>
    </row>
    <row r="109" ht="14.25">
      <c r="E109" s="2"/>
      <c r="F109" s="2"/>
    </row>
    <row r="110" ht="14.25">
      <c r="E110" s="2"/>
      <c r="F110" s="2"/>
    </row>
    <row r="111" ht="14.25">
      <c r="E111" s="2"/>
      <c r="F111" s="2"/>
    </row>
    <row r="112" ht="14.25">
      <c r="E112" s="2"/>
      <c r="F112" s="2"/>
    </row>
    <row r="113" ht="14.25">
      <c r="E113" s="2"/>
      <c r="F113" s="2"/>
    </row>
    <row r="114" ht="14.25">
      <c r="E114" s="2"/>
      <c r="F114" s="2"/>
    </row>
    <row r="115" ht="14.25">
      <c r="E115" s="2"/>
      <c r="F115" s="2"/>
    </row>
    <row r="116" ht="14.25">
      <c r="E116" s="2"/>
      <c r="F116" s="2"/>
    </row>
    <row r="117" ht="14.25">
      <c r="E117" s="2"/>
      <c r="F117" s="2"/>
    </row>
    <row r="118" ht="14.25">
      <c r="E118" s="2"/>
      <c r="F118" s="2"/>
    </row>
    <row r="119" ht="14.25">
      <c r="E119" s="2"/>
      <c r="F119" s="2"/>
    </row>
    <row r="120" ht="14.25">
      <c r="E120" s="2"/>
      <c r="F120" s="2"/>
    </row>
    <row r="121" ht="14.25">
      <c r="E121" s="2"/>
      <c r="F121" s="2"/>
    </row>
    <row r="122" ht="14.25">
      <c r="E122" s="2"/>
      <c r="F122" s="2"/>
    </row>
    <row r="123" ht="14.25">
      <c r="E123" s="2"/>
      <c r="F123" s="2"/>
    </row>
    <row r="124" ht="14.25">
      <c r="E124" s="2"/>
      <c r="F124" s="2"/>
    </row>
    <row r="125" ht="14.25">
      <c r="E125" s="2"/>
      <c r="F125" s="2"/>
    </row>
    <row r="126" ht="14.25">
      <c r="E126" s="2"/>
      <c r="F126" s="2"/>
    </row>
    <row r="127" ht="14.25">
      <c r="E127" s="2"/>
      <c r="F127" s="2"/>
    </row>
    <row r="128" ht="14.25">
      <c r="E128" s="2"/>
      <c r="F128" s="2"/>
    </row>
    <row r="129" ht="14.25">
      <c r="E129" s="2"/>
      <c r="F129" s="2"/>
    </row>
    <row r="130" ht="14.25">
      <c r="E130" s="2"/>
      <c r="F130" s="2"/>
    </row>
    <row r="131" ht="14.25">
      <c r="E131" s="2"/>
      <c r="F131" s="2"/>
    </row>
    <row r="132" ht="14.25">
      <c r="E132" s="2"/>
      <c r="F132" s="2"/>
    </row>
    <row r="133" ht="14.25">
      <c r="E133" s="2"/>
      <c r="F133" s="2"/>
    </row>
    <row r="134" ht="14.25">
      <c r="E134" s="2"/>
      <c r="F134" s="2"/>
    </row>
    <row r="135" ht="14.25">
      <c r="E135" s="2"/>
      <c r="F135" s="2"/>
    </row>
    <row r="136" ht="14.25">
      <c r="E136" s="2"/>
      <c r="F136" s="2"/>
    </row>
    <row r="137" ht="14.25">
      <c r="E137" s="2"/>
      <c r="F137" s="2"/>
    </row>
    <row r="138" ht="14.25">
      <c r="E138" s="2"/>
      <c r="F138" s="2"/>
    </row>
    <row r="139" ht="14.25">
      <c r="E139" s="2"/>
      <c r="F139" s="2"/>
    </row>
    <row r="140" ht="14.25">
      <c r="E140" s="2"/>
      <c r="F140" s="2"/>
    </row>
    <row r="141" ht="14.25">
      <c r="E141" s="2"/>
      <c r="F141" s="2"/>
    </row>
    <row r="142" ht="14.25">
      <c r="E142" s="2"/>
      <c r="F142" s="2"/>
    </row>
    <row r="143" ht="14.25">
      <c r="E143" s="2"/>
      <c r="F143" s="2"/>
    </row>
    <row r="144" ht="14.25">
      <c r="E144" s="2"/>
      <c r="F144" s="2"/>
    </row>
    <row r="145" ht="14.25">
      <c r="E145" s="2"/>
      <c r="F145" s="2"/>
    </row>
    <row r="146" ht="14.25">
      <c r="E146" s="2"/>
      <c r="F146" s="2"/>
    </row>
    <row r="147" ht="14.25">
      <c r="E147" s="2"/>
      <c r="F147" s="2"/>
    </row>
    <row r="148" ht="14.25">
      <c r="E148" s="2"/>
      <c r="F148" s="2"/>
    </row>
    <row r="149" ht="14.25">
      <c r="E149" s="2"/>
      <c r="F149" s="2"/>
    </row>
    <row r="150" ht="14.25">
      <c r="E150" s="2"/>
      <c r="F150" s="2"/>
    </row>
    <row r="151" ht="14.25">
      <c r="E151" s="2"/>
      <c r="F151" s="2"/>
    </row>
    <row r="152" ht="14.25">
      <c r="E152" s="2"/>
      <c r="F152" s="2"/>
    </row>
    <row r="153" ht="14.25">
      <c r="E153" s="2"/>
      <c r="F153" s="2"/>
    </row>
    <row r="154" ht="14.25">
      <c r="E154" s="2"/>
      <c r="F154" s="2"/>
    </row>
    <row r="155" ht="14.25">
      <c r="E155" s="2"/>
      <c r="F155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1" zoomScale="100" workbookViewId="0">
      <selection activeCell="A1" activeCellId="0" sqref="A1"/>
    </sheetView>
  </sheetViews>
  <sheetFormatPr defaultRowHeight="14.25"/>
  <cols>
    <col customWidth="1" min="3" max="3" width="51.57421875"/>
  </cols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ONLYOFFICE/10.0.0.169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6</cp:revision>
  <dcterms:modified xsi:type="dcterms:W3CDTF">2026-10-26T07:05:09Z</dcterms:modified>
</cp:coreProperties>
</file>
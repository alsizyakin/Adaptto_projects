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charts/chart4.xml" ContentType="application/vnd.openxmlformats-officedocument.drawingml.chart+xml"/>
  <Override PartName="/xl/workbook.xml" ContentType="application/vnd.openxmlformats-officedocument.spreadsheetml.sheet.main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1.xml" ContentType="application/vnd.openxmlformats-officedocument.theme+xml"/>
  <Override PartName="/xl/charts/colors2.xml" ContentType="application/vnd.ms-office.chartcolorstyle+xml"/>
  <Override PartName="/xl/styles.xml" ContentType="application/vnd.openxmlformats-officedocument.spreadsheetml.styles+xml"/>
  <Override PartName="/xl/charts/style2.xml" ContentType="application/vnd.ms-office.chartstyle+xml"/>
  <Override PartName="/xl/charts/chart2.xml" ContentType="application/vnd.openxmlformats-officedocument.drawingml.chart+xml"/>
  <Override PartName="/xl/charts/colors5.xml" ContentType="application/vnd.ms-office.chartcolorstyle+xml"/>
  <Override PartName="/xl/charts/style3.xml" ContentType="application/vnd.ms-office.chartstyle+xml"/>
  <Override PartName="/xl/charts/chart3.xml" ContentType="application/vnd.openxmlformats-officedocument.drawingml.chart+xml"/>
  <Override PartName="/docProps/core.xml" ContentType="application/vnd.openxmlformats-package.core-properties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<sst xmlns="http://schemas.openxmlformats.org/spreadsheetml/2006/main" count="39" uniqueCount="39">
  <si>
    <t>Eлм</t>
  </si>
  <si>
    <t>Eфrms</t>
  </si>
  <si>
    <t>Eлrms</t>
  </si>
  <si>
    <t>Eфм</t>
  </si>
  <si>
    <t>f</t>
  </si>
  <si>
    <t>n</t>
  </si>
  <si>
    <t>p</t>
  </si>
  <si>
    <t>psi</t>
  </si>
  <si>
    <t>startd</t>
  </si>
  <si>
    <t>endd</t>
  </si>
  <si>
    <t>startq</t>
  </si>
  <si>
    <t>endq</t>
  </si>
  <si>
    <t>Ψ</t>
  </si>
  <si>
    <t>R</t>
  </si>
  <si>
    <t>I</t>
  </si>
  <si>
    <t>Ld</t>
  </si>
  <si>
    <t>E</t>
  </si>
  <si>
    <t>Lq</t>
  </si>
  <si>
    <t>IdR</t>
  </si>
  <si>
    <t>IqR</t>
  </si>
  <si>
    <t>Id</t>
  </si>
  <si>
    <t>IdXd</t>
  </si>
  <si>
    <t>Iq</t>
  </si>
  <si>
    <t>IqXq</t>
  </si>
  <si>
    <t>U</t>
  </si>
  <si>
    <t>ω</t>
  </si>
  <si>
    <t>IRd</t>
  </si>
  <si>
    <t>IRq</t>
  </si>
  <si>
    <t>Eлm</t>
  </si>
  <si>
    <t>M</t>
  </si>
  <si>
    <t>Idm</t>
  </si>
  <si>
    <t>Is</t>
  </si>
  <si>
    <t>Id%</t>
  </si>
  <si>
    <t>IdXd_d</t>
  </si>
  <si>
    <t>IdXd_q</t>
  </si>
  <si>
    <t>IqXq_d</t>
  </si>
  <si>
    <t>IqXq_q</t>
  </si>
  <si>
    <t>Um</t>
  </si>
  <si>
    <t>ang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</si>
</sst>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theme="1"/>
      <name val="Asana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2" borderId="0" numFmtId="0" xfId="0" applyFill="1"/>
    <xf fontId="1" fillId="0" borderId="0" numFmtId="0" xfId="0" applyFont="1"/>
    <xf fontId="0" fillId="0" borderId="0" numFmtId="11" xfId="0" applyNumberFormat="1"/>
    <xf fontId="0" fillId="0" borderId="0" numFmtId="2" xfId="0" applyNumberFormat="1"/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<?xml version="1.0" encoding="UTF-8" standalone="yes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_rels/chart4.xml.rels><?xml version="1.0" encoding="UTF-8" standalone="yes"?><Relationships xmlns="http://schemas.openxmlformats.org/package/2006/relationships"><Relationship Id="rId1" Type="http://schemas.microsoft.com/office/2011/relationships/chartStyle" Target="style4.xml" /><Relationship Id="rId2" Type="http://schemas.microsoft.com/office/2011/relationships/chartColorStyle" Target="colors4.xml" /></Relationships>
</file>

<file path=xl/charts/_rels/chart5.xml.rels><?xml version="1.0" encoding="UTF-8" standalone="yes"?><Relationships xmlns="http://schemas.openxmlformats.org/package/2006/relationships"><Relationship Id="rId1" Type="http://schemas.microsoft.com/office/2011/relationships/chartStyle" Target="style5.xml" /><Relationship Id="rId2" Type="http://schemas.microsoft.com/office/2011/relationships/chartColorStyle" Target="colors5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ru-RU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77250"/>
          <c:y val="0.051910"/>
          <c:w val="0.828810"/>
          <c:h val="0.754860"/>
        </c:manualLayout>
      </c:layout>
      <c:scatterChart>
        <c:scatterStyle val="lineMarker"/>
        <c:varyColors val="0"/>
        <c:ser>
          <c:idx val="0"/>
          <c:order val="0"/>
          <c:tx>
            <c:v>E</c:v>
          </c:tx>
          <c:spPr bwMode="auto">
            <a:prstGeom prst="rect">
              <a:avLst/>
            </a:prstGeom>
            <a:solidFill>
              <a:schemeClr val="accent1"/>
            </a:solidFill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'Лист1'!$E$8:$F$8</c:f>
            </c:numRef>
          </c:xVal>
          <c:yVal>
            <c:numRef>
              <c:f>'Лист1'!$G$8:$H$8</c:f>
            </c:numRef>
          </c:yVal>
          <c:smooth val="0"/>
        </c:ser>
        <c:ser>
          <c:idx val="1"/>
          <c:order val="1"/>
          <c:tx>
            <c:v>IdR</c:v>
          </c:tx>
          <c:spPr bwMode="auto">
            <a:prstGeom prst="rect">
              <a:avLst/>
            </a:prstGeom>
            <a:solidFill>
              <a:schemeClr val="accent2"/>
            </a:solidFill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</c:spPr>
          </c:marker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'Лист1'!$E$9:$F$9</c:f>
            </c:numRef>
          </c:xVal>
          <c:yVal>
            <c:numRef>
              <c:f>'Лист1'!$G$9:$H$9</c:f>
            </c:numRef>
          </c:yVal>
          <c:smooth val="0"/>
        </c:ser>
        <c:ser>
          <c:idx val="2"/>
          <c:order val="2"/>
          <c:tx>
            <c:v>IqXq</c:v>
          </c:tx>
          <c:spPr bwMode="auto">
            <a:prstGeom prst="rect">
              <a:avLst/>
            </a:prstGeom>
            <a:solidFill>
              <a:schemeClr val="accent3"/>
            </a:solidFill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3"/>
              </a:solidFill>
              <a:ln w="9525">
                <a:solidFill>
                  <a:schemeClr val="accent3"/>
                </a:solidFill>
              </a:ln>
            </c:spPr>
          </c:marker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'Лист1'!$E$12:$F$12</c:f>
            </c:numRef>
          </c:xVal>
          <c:yVal>
            <c:numRef>
              <c:f>'Лист1'!$G$12:$H$12</c:f>
            </c:numRef>
          </c:yVal>
          <c:smooth val="0"/>
        </c:ser>
        <c:ser>
          <c:idx val="3"/>
          <c:order val="3"/>
          <c:tx>
            <c:v>U</c:v>
          </c:tx>
          <c:spPr bwMode="auto">
            <a:prstGeom prst="rect">
              <a:avLst/>
            </a:prstGeom>
            <a:solidFill>
              <a:schemeClr val="accent4"/>
            </a:solidFill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4"/>
              </a:solidFill>
              <a:ln w="9525">
                <a:solidFill>
                  <a:schemeClr val="accent4"/>
                </a:solidFill>
              </a:ln>
            </c:spPr>
          </c:marker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'Лист1'!$E$13:$F$13</c:f>
            </c:numRef>
          </c:xVal>
          <c:yVal>
            <c:numRef>
              <c:f>'Лист1'!$G$13:$H$13</c:f>
            </c:numRef>
          </c:yVal>
          <c:smooth val="0"/>
        </c:ser>
        <c:ser>
          <c:idx val="4"/>
          <c:order val="4"/>
          <c:tx>
            <c:v>I</c:v>
          </c:tx>
          <c:spPr bwMode="auto">
            <a:prstGeom prst="rect">
              <a:avLst/>
            </a:prstGeom>
            <a:solidFill>
              <a:schemeClr val="accent5"/>
            </a:solidFill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5"/>
              </a:solidFill>
              <a:ln w="9525">
                <a:solidFill>
                  <a:schemeClr val="accent5"/>
                </a:solidFill>
              </a:ln>
            </c:spPr>
          </c:marker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'Лист1'!$E$7:$F$7</c:f>
            </c:numRef>
          </c:xVal>
          <c:yVal>
            <c:numRef>
              <c:f>'Лист1'!$G$7:$H$7</c:f>
            </c:numRef>
          </c:yVal>
          <c:smooth val="0"/>
        </c:ser>
        <c:ser>
          <c:idx val="5"/>
          <c:order val="5"/>
          <c:tx>
            <c:v>Ф</c:v>
          </c:tx>
          <c:spPr bwMode="auto">
            <a:prstGeom prst="rect">
              <a:avLst/>
            </a:prstGeom>
            <a:solidFill>
              <a:schemeClr val="accent6"/>
            </a:solidFill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6"/>
              </a:solidFill>
              <a:ln w="9525">
                <a:solidFill>
                  <a:schemeClr val="accent6"/>
                </a:solidFill>
              </a:ln>
            </c:spPr>
          </c:marker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'Лист1'!$G$6:$H$6</c:f>
            </c:numRef>
          </c:xVal>
          <c:yVal>
            <c:numRef>
              <c:f>'Лист1'!$E$6:$F$6</c:f>
            </c:numRef>
          </c:yVal>
          <c:smooth val="0"/>
        </c:ser>
        <c:ser>
          <c:idx val="6"/>
          <c:order val="6"/>
          <c:tx>
            <c:v>IqR</c:v>
          </c:tx>
          <c:spPr bwMode="auto">
            <a:prstGeom prst="rect">
              <a:avLst/>
            </a:prstGeom>
            <a:solidFill>
              <a:schemeClr val="accent1">
                <a:lumMod val="60000"/>
              </a:schemeClr>
            </a:solidFill>
            <a:ln w="19050" cap="rnd">
              <a:solidFill>
                <a:schemeClr val="accent1">
                  <a:lumMod val="60000"/>
                </a:schemeClr>
              </a:solidFill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</c:spPr>
          </c:marker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'Лист1'!$E$10:$F$10</c:f>
            </c:numRef>
          </c:xVal>
          <c:yVal>
            <c:numRef>
              <c:f>'Лист1'!$G$10:$H$10</c:f>
            </c:numRef>
          </c:yVal>
          <c:smooth val="0"/>
        </c:ser>
        <c:ser>
          <c:idx val="7"/>
          <c:order val="7"/>
          <c:tx>
            <c:v>IdXd</c:v>
          </c:tx>
          <c:spPr bwMode="auto">
            <a:prstGeom prst="rect">
              <a:avLst/>
            </a:prstGeom>
            <a:solidFill>
              <a:schemeClr val="accent2">
                <a:lumMod val="60000"/>
              </a:schemeClr>
            </a:solidFill>
            <a:ln w="19050" cap="rnd">
              <a:solidFill>
                <a:schemeClr val="accent2">
                  <a:lumMod val="60000"/>
                </a:schemeClr>
              </a:solidFill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</c:spPr>
          </c:marker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'Лист1'!$E$11:$F$11</c:f>
            </c:numRef>
          </c:xVal>
          <c:yVal>
            <c:numRef>
              <c:f>'Лист1'!$G$11:$H$11</c:f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  <c:axId val="630600171"/>
        <c:axId val="630600172"/>
      </c:scatterChart>
      <c:valAx>
        <c:axId val="630600171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0600172"/>
        <c:crosses val="autoZero"/>
        <c:crossBetween val="midCat"/>
      </c:valAx>
      <c:valAx>
        <c:axId val="63060017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0600171"/>
        <c:crosses val="autoZero"/>
        <c:crossBetween val="midCat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8667748" y="1181098"/>
      <a:ext cx="3469003" cy="2905123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U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marker"/>
        <c:varyColors val="0"/>
        <c:ser>
          <c:idx val="0"/>
          <c:order val="0"/>
          <c:tx>
            <c:strRef>
              <c:f>'Лист1'!$J$59</c:f>
              <c:strCache>
                <c:ptCount val="1"/>
                <c:pt idx="0">
                  <c:v>Um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dLbls>
            <c:dLblPos val="ctr"/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'Лист1'!$B$60:$B$260</c:f>
            </c:numRef>
          </c:xVal>
          <c:yVal>
            <c:numRef>
              <c:f>'Лист1'!$J$60:$J$260</c:f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664969073"/>
        <c:axId val="664969074"/>
      </c:scatterChart>
      <c:valAx>
        <c:axId val="664969073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664969074"/>
        <c:crosses val="autoZero"/>
        <c:crossBetween val="between"/>
      </c:valAx>
      <c:valAx>
        <c:axId val="664969074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664969073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>
      <a:off x="1824037" y="4543424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M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marker"/>
        <c:varyColors val="0"/>
        <c:ser>
          <c:idx val="0"/>
          <c:order val="0"/>
          <c:tx>
            <c:strRef>
              <c:f>'Лист1'!$K$59</c:f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/>
            </c:spPr>
          </c:marker>
          <c:dLbls>
            <c:dLblPos val="ctr"/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'Лист1'!$B$60:$B$260</c:f>
            </c:numRef>
          </c:xVal>
          <c:yVal>
            <c:numRef>
              <c:f>'Лист1'!$K$60:$K$260</c:f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664969079"/>
        <c:axId val="664969080"/>
      </c:scatterChart>
      <c:valAx>
        <c:axId val="664969079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664969080"/>
        <c:crosses val="autoZero"/>
        <c:crossBetween val="between"/>
      </c:valAx>
      <c:valAx>
        <c:axId val="66496908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664969079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>
      <a:off x="6705599" y="4543424"/>
      <a:ext cx="4552948" cy="2724148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U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marker"/>
        <c:varyColors val="0"/>
        <c:ser>
          <c:idx val="0"/>
          <c:order val="0"/>
          <c:tx>
            <c:strRef>
              <c:f>'Лист1'!$J$59</c:f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/>
            </c:spPr>
          </c:marker>
          <c:dLbls>
            <c:dLblPos val="ctr"/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'Лист1'!$N$60:$N$260</c:f>
            </c:numRef>
          </c:xVal>
          <c:yVal>
            <c:numRef>
              <c:f>'Лист1'!$X$60:$X$260</c:f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664969083"/>
        <c:axId val="664969084"/>
      </c:scatterChart>
      <c:valAx>
        <c:axId val="664969083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664969084"/>
        <c:crosses val="autoZero"/>
        <c:crossBetween val="between"/>
      </c:valAx>
      <c:valAx>
        <c:axId val="664969084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664969083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>
      <a:off x="1828799" y="7439024"/>
      <a:ext cx="4552948" cy="2724148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M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marker"/>
        <c:varyColors val="0"/>
        <c:ser>
          <c:idx val="0"/>
          <c:order val="0"/>
          <c:tx>
            <c:strRef>
              <c:f>'Лист1'!$K$59</c:f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/>
            </c:spPr>
          </c:marker>
          <c:dLbls>
            <c:dLblPos val="ctr"/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'Лист1'!$N$60:$N$260</c:f>
            </c:numRef>
          </c:xVal>
          <c:yVal>
            <c:numRef>
              <c:f>'Лист1'!$Y$60:$Y$260</c:f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664969087"/>
        <c:axId val="664969088"/>
      </c:scatterChart>
      <c:valAx>
        <c:axId val="664969087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664969088"/>
        <c:crosses val="autoZero"/>
        <c:crossBetween val="between"/>
      </c:valAx>
      <c:valAx>
        <c:axId val="66496908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664969087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>
      <a:off x="6705599" y="7439024"/>
      <a:ext cx="4781547" cy="2724147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Relationship Id="rId4" Type="http://schemas.openxmlformats.org/officeDocument/2006/relationships/chart" Target="../charts/chart4.xml" /><Relationship Id="rId5" Type="http://schemas.openxmlformats.org/officeDocument/2006/relationships/chart" Target="../charts/chart5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14</xdr:col>
      <xdr:colOff>133347</xdr:colOff>
      <xdr:row>6</xdr:row>
      <xdr:rowOff>85723</xdr:rowOff>
    </xdr:from>
    <xdr:to>
      <xdr:col>19</xdr:col>
      <xdr:colOff>211452</xdr:colOff>
      <xdr:row>22</xdr:row>
      <xdr:rowOff>85721</xdr:rowOff>
    </xdr:to>
    <xdr:graphicFrame>
      <xdr:nvGraphicFramePr>
        <xdr:cNvPr id="2102626635" name=""/>
        <xdr:cNvGraphicFramePr>
          <a:graphicFrameLocks xmlns:a="http://schemas.openxmlformats.org/drawingml/2006/main"/>
        </xdr:cNvGraphicFramePr>
      </xdr:nvGraphicFramePr>
      <xdr:xfrm rot="0">
        <a:off x="8667748" y="1181098"/>
        <a:ext cx="3469003" cy="2905123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2</xdr:col>
      <xdr:colOff>604837</xdr:colOff>
      <xdr:row>24</xdr:row>
      <xdr:rowOff>180974</xdr:rowOff>
    </xdr:from>
    <xdr:to>
      <xdr:col>10</xdr:col>
      <xdr:colOff>280987</xdr:colOff>
      <xdr:row>40</xdr:row>
      <xdr:rowOff>9524</xdr:rowOff>
    </xdr:to>
    <xdr:graphicFrame>
      <xdr:nvGraphicFramePr>
        <xdr:cNvPr id="1545508772" name=""/>
        <xdr:cNvGraphicFramePr>
          <a:graphicFrameLocks xmlns:a="http://schemas.openxmlformats.org/drawingml/2006/main"/>
        </xdr:cNvGraphicFramePr>
      </xdr:nvGraphicFramePr>
      <xdr:xfrm rot="0">
        <a:off x="1824037" y="4543424"/>
        <a:ext cx="4552949" cy="27241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10</xdr:col>
      <xdr:colOff>609599</xdr:colOff>
      <xdr:row>24</xdr:row>
      <xdr:rowOff>180974</xdr:rowOff>
    </xdr:from>
    <xdr:to>
      <xdr:col>18</xdr:col>
      <xdr:colOff>285748</xdr:colOff>
      <xdr:row>40</xdr:row>
      <xdr:rowOff>9523</xdr:rowOff>
    </xdr:to>
    <xdr:graphicFrame>
      <xdr:nvGraphicFramePr>
        <xdr:cNvPr id="100684104" name=""/>
        <xdr:cNvGraphicFramePr>
          <a:graphicFrameLocks xmlns:a="http://schemas.openxmlformats.org/drawingml/2006/main"/>
        </xdr:cNvGraphicFramePr>
      </xdr:nvGraphicFramePr>
      <xdr:xfrm rot="0">
        <a:off x="6705599" y="4543424"/>
        <a:ext cx="4552948" cy="2724148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twoCell">
    <xdr:from>
      <xdr:col>2</xdr:col>
      <xdr:colOff>609599</xdr:colOff>
      <xdr:row>40</xdr:row>
      <xdr:rowOff>180974</xdr:rowOff>
    </xdr:from>
    <xdr:to>
      <xdr:col>10</xdr:col>
      <xdr:colOff>285748</xdr:colOff>
      <xdr:row>56</xdr:row>
      <xdr:rowOff>9523</xdr:rowOff>
    </xdr:to>
    <xdr:graphicFrame>
      <xdr:nvGraphicFramePr>
        <xdr:cNvPr id="247355617" name=""/>
        <xdr:cNvGraphicFramePr>
          <a:graphicFrameLocks xmlns:a="http://schemas.openxmlformats.org/drawingml/2006/main"/>
        </xdr:cNvGraphicFramePr>
      </xdr:nvGraphicFramePr>
      <xdr:xfrm rot="0">
        <a:off x="1828799" y="7439024"/>
        <a:ext cx="4552948" cy="2724148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twoCell">
    <xdr:from>
      <xdr:col>10</xdr:col>
      <xdr:colOff>609599</xdr:colOff>
      <xdr:row>40</xdr:row>
      <xdr:rowOff>180974</xdr:rowOff>
    </xdr:from>
    <xdr:to>
      <xdr:col>18</xdr:col>
      <xdr:colOff>285747</xdr:colOff>
      <xdr:row>56</xdr:row>
      <xdr:rowOff>9521</xdr:rowOff>
    </xdr:to>
    <xdr:graphicFrame>
      <xdr:nvGraphicFramePr>
        <xdr:cNvPr id="2054016054" name=""/>
        <xdr:cNvGraphicFramePr>
          <a:graphicFrameLocks xmlns:a="http://schemas.openxmlformats.org/drawingml/2006/main"/>
        </xdr:cNvGraphicFramePr>
      </xdr:nvGraphicFramePr>
      <xdr:xfrm rot="0">
        <a:off x="6705599" y="7439024"/>
        <a:ext cx="4781547" cy="2724147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5" max="16" width="10.8515625"/>
    <col bestFit="1" min="19" max="20" width="10.8515625"/>
    <col bestFit="1" min="25" max="25" width="9.8515625"/>
  </cols>
  <sheetData>
    <row r="1" ht="14.25">
      <c r="A1" t="s">
        <v>0</v>
      </c>
      <c r="B1">
        <v>1.28</v>
      </c>
      <c r="D1" t="s">
        <v>1</v>
      </c>
      <c r="E1">
        <v>100</v>
      </c>
      <c r="G1" t="s">
        <v>2</v>
      </c>
      <c r="H1">
        <v>124</v>
      </c>
      <c r="J1" t="s">
        <v>3</v>
      </c>
      <c r="K1">
        <v>141</v>
      </c>
    </row>
    <row r="2" ht="14.25">
      <c r="A2" t="s">
        <v>4</v>
      </c>
      <c r="B2">
        <v>19.23</v>
      </c>
      <c r="D2" t="s">
        <v>5</v>
      </c>
      <c r="E2">
        <v>3000</v>
      </c>
      <c r="G2" t="s">
        <v>5</v>
      </c>
      <c r="H2">
        <v>1000</v>
      </c>
      <c r="J2" t="s">
        <v>5</v>
      </c>
      <c r="K2">
        <v>3000</v>
      </c>
    </row>
    <row r="3" ht="14.25">
      <c r="D3" t="s">
        <v>6</v>
      </c>
      <c r="E3">
        <v>1</v>
      </c>
      <c r="G3" t="s">
        <v>6</v>
      </c>
      <c r="H3">
        <v>13</v>
      </c>
      <c r="J3" t="s">
        <v>6</v>
      </c>
      <c r="K3">
        <v>1</v>
      </c>
    </row>
    <row r="4" ht="15">
      <c r="A4" t="s">
        <v>7</v>
      </c>
      <c r="B4">
        <f>B1/SQRT(3)/B2/2/PI()</f>
        <v>0.0061163198660070545</v>
      </c>
      <c r="D4" t="s">
        <v>7</v>
      </c>
      <c r="E4">
        <f>E1*SQRT(2)/E2*60/2/PI()/E3</f>
        <v>0.45015815807855303</v>
      </c>
      <c r="G4" t="s">
        <v>7</v>
      </c>
      <c r="H4">
        <f>H1/SQRT(3)*SQRT(2)/H2*60/2/PI()/H3</f>
        <v>0.07437107950228912</v>
      </c>
      <c r="J4" t="s">
        <v>7</v>
      </c>
      <c r="K4">
        <f>K1/K2*60/2/PI()/K3</f>
        <v>0.44881693951914486</v>
      </c>
    </row>
    <row r="5" s="1" customFormat="1" ht="14.25">
      <c r="E5" s="1" t="s">
        <v>8</v>
      </c>
      <c r="F5" s="1" t="s">
        <v>9</v>
      </c>
      <c r="G5" s="1" t="s">
        <v>10</v>
      </c>
      <c r="H5" s="1" t="s">
        <v>11</v>
      </c>
    </row>
    <row r="6" ht="15">
      <c r="A6" s="2" t="s">
        <v>12</v>
      </c>
      <c r="B6">
        <f>H4</f>
        <v>0.07437107950228912</v>
      </c>
      <c r="D6" s="2" t="s">
        <v>12</v>
      </c>
      <c r="E6">
        <v>0</v>
      </c>
      <c r="F6">
        <v>0</v>
      </c>
      <c r="G6">
        <v>4.5</v>
      </c>
      <c r="H6">
        <v>0</v>
      </c>
    </row>
    <row r="7" ht="14.25">
      <c r="A7" t="s">
        <v>13</v>
      </c>
      <c r="B7" s="3">
        <v>0.052999999999999999</v>
      </c>
      <c r="D7" t="s">
        <v>14</v>
      </c>
      <c r="E7">
        <v>0</v>
      </c>
      <c r="F7">
        <f>B11</f>
        <v>20</v>
      </c>
      <c r="G7">
        <v>0</v>
      </c>
      <c r="H7">
        <f>B12</f>
        <v>3</v>
      </c>
    </row>
    <row r="8" ht="14.25">
      <c r="A8" t="s">
        <v>15</v>
      </c>
      <c r="B8" s="3">
        <v>0.00020000000000000001</v>
      </c>
      <c r="D8" t="s">
        <v>16</v>
      </c>
      <c r="E8">
        <v>0</v>
      </c>
      <c r="F8">
        <f>0</f>
        <v>0</v>
      </c>
      <c r="G8">
        <v>0</v>
      </c>
      <c r="H8">
        <f>B15</f>
        <v>222.74026727708366</v>
      </c>
    </row>
    <row r="9" ht="14.25">
      <c r="A9" t="s">
        <v>17</v>
      </c>
      <c r="B9" s="3">
        <v>0.00020000000000000001</v>
      </c>
      <c r="D9" t="s">
        <v>18</v>
      </c>
      <c r="E9">
        <f t="shared" ref="E9:E10" si="0">F8</f>
        <v>0</v>
      </c>
      <c r="F9">
        <f>E9+B16</f>
        <v>1.0600000000000001</v>
      </c>
      <c r="G9">
        <f t="shared" ref="G9:G10" si="1">H8</f>
        <v>222.74026727708366</v>
      </c>
      <c r="H9">
        <f>G9</f>
        <v>222.74026727708366</v>
      </c>
    </row>
    <row r="10" ht="14.25">
      <c r="D10" t="s">
        <v>19</v>
      </c>
      <c r="E10">
        <f t="shared" si="0"/>
        <v>1.0600000000000001</v>
      </c>
      <c r="F10">
        <f t="shared" ref="F10:F11" si="2">E10</f>
        <v>1.0600000000000001</v>
      </c>
      <c r="G10">
        <f t="shared" si="1"/>
        <v>222.74026727708366</v>
      </c>
      <c r="H10">
        <f t="shared" ref="H10:H11" si="3">G10+B17</f>
        <v>222.89926727708365</v>
      </c>
    </row>
    <row r="11" ht="14.25">
      <c r="A11" t="s">
        <v>20</v>
      </c>
      <c r="B11">
        <v>20</v>
      </c>
      <c r="D11" t="s">
        <v>21</v>
      </c>
      <c r="E11">
        <f t="shared" ref="E11:E12" si="4">F10</f>
        <v>1.0600000000000001</v>
      </c>
      <c r="F11">
        <f t="shared" si="2"/>
        <v>1.0600000000000001</v>
      </c>
      <c r="G11">
        <f t="shared" ref="G11:G12" si="5">H10</f>
        <v>222.89926727708365</v>
      </c>
      <c r="H11">
        <f t="shared" si="3"/>
        <v>234.87920726277272</v>
      </c>
      <c r="L11">
        <v>0.027567000000000001</v>
      </c>
    </row>
    <row r="12" ht="14.25">
      <c r="A12" t="s">
        <v>22</v>
      </c>
      <c r="B12" s="4">
        <v>3</v>
      </c>
      <c r="D12" t="s">
        <v>23</v>
      </c>
      <c r="E12">
        <f t="shared" si="4"/>
        <v>1.0600000000000001</v>
      </c>
      <c r="F12">
        <f>E12-B19</f>
        <v>-0.73699099785336153</v>
      </c>
      <c r="G12">
        <f t="shared" si="5"/>
        <v>234.87920726277272</v>
      </c>
      <c r="H12">
        <f>G12</f>
        <v>234.87920726277272</v>
      </c>
    </row>
    <row r="13" ht="14.25">
      <c r="A13" t="s">
        <v>6</v>
      </c>
      <c r="B13">
        <v>13</v>
      </c>
      <c r="D13" t="s">
        <v>24</v>
      </c>
      <c r="E13">
        <v>0</v>
      </c>
      <c r="F13">
        <f>F12</f>
        <v>-0.73699099785336153</v>
      </c>
      <c r="G13">
        <v>0</v>
      </c>
      <c r="H13">
        <f>H12</f>
        <v>234.87920726277272</v>
      </c>
    </row>
    <row r="14" ht="15">
      <c r="A14" s="2" t="s">
        <v>25</v>
      </c>
      <c r="B14">
        <f>F16/60*B13*2*PI()</f>
        <v>2994.984996422269</v>
      </c>
      <c r="L14">
        <v>0.0059249999999999997</v>
      </c>
    </row>
    <row r="15" ht="14.25">
      <c r="A15" t="s">
        <v>16</v>
      </c>
      <c r="B15">
        <f>B14*B6</f>
        <v>222.74026727708366</v>
      </c>
    </row>
    <row r="16" ht="14.25">
      <c r="A16" t="s">
        <v>26</v>
      </c>
      <c r="B16">
        <f>B11*B7</f>
        <v>1.0600000000000001</v>
      </c>
      <c r="E16" t="s">
        <v>5</v>
      </c>
      <c r="F16">
        <v>2200</v>
      </c>
    </row>
    <row r="17" ht="14.25">
      <c r="A17" t="s">
        <v>27</v>
      </c>
      <c r="B17">
        <f>B12*B7</f>
        <v>0.159</v>
      </c>
    </row>
    <row r="18" ht="14.25">
      <c r="A18" t="s">
        <v>21</v>
      </c>
      <c r="B18">
        <f>B11*B8*B14</f>
        <v>11.979939985689077</v>
      </c>
      <c r="E18" t="s">
        <v>28</v>
      </c>
      <c r="F18">
        <f>B15*SQRT(3)</f>
        <v>385.79745981538031</v>
      </c>
    </row>
    <row r="19" ht="14.25">
      <c r="A19" t="s">
        <v>23</v>
      </c>
      <c r="B19">
        <f>B12*B9*B14</f>
        <v>1.7969909978533616</v>
      </c>
    </row>
    <row r="20" ht="14.25">
      <c r="A20" t="s">
        <v>24</v>
      </c>
      <c r="B20">
        <f>SQRT(F12*F12+H12*H12)</f>
        <v>234.88036350474144</v>
      </c>
    </row>
    <row r="21" ht="14.25">
      <c r="A21" t="s">
        <v>29</v>
      </c>
      <c r="B21">
        <f>1.5*B13*(B12*B6+B11*B12*(B8-B9))</f>
        <v>4.3507081508839134</v>
      </c>
    </row>
    <row r="25" s="1" customFormat="1" ht="14.25"/>
    <row r="26" ht="14.25">
      <c r="A26" t="s">
        <v>22</v>
      </c>
      <c r="B26">
        <v>20</v>
      </c>
    </row>
    <row r="27" ht="14.25">
      <c r="A27" t="s">
        <v>30</v>
      </c>
      <c r="B27">
        <v>30</v>
      </c>
    </row>
    <row r="31" ht="14.25">
      <c r="A31" t="s">
        <v>31</v>
      </c>
      <c r="B31">
        <v>141</v>
      </c>
    </row>
    <row r="48" ht="14.25">
      <c r="Y48">
        <f>MAX(Y60:Y260)</f>
        <v>204.48328309154394</v>
      </c>
    </row>
    <row r="59" ht="14.25">
      <c r="A59" t="s">
        <v>32</v>
      </c>
      <c r="B59" t="s">
        <v>20</v>
      </c>
      <c r="C59" t="s">
        <v>16</v>
      </c>
      <c r="D59" t="s">
        <v>19</v>
      </c>
      <c r="E59" t="s">
        <v>18</v>
      </c>
      <c r="F59" t="s">
        <v>33</v>
      </c>
      <c r="G59" t="s">
        <v>34</v>
      </c>
      <c r="H59" t="s">
        <v>35</v>
      </c>
      <c r="I59" t="s">
        <v>36</v>
      </c>
      <c r="J59" t="s">
        <v>37</v>
      </c>
      <c r="K59" t="s">
        <v>29</v>
      </c>
      <c r="N59" s="5" t="s">
        <v>38</v>
      </c>
      <c r="O59" s="5" t="s">
        <v>22</v>
      </c>
      <c r="P59" t="s">
        <v>20</v>
      </c>
      <c r="Q59" t="s">
        <v>16</v>
      </c>
      <c r="R59" t="s">
        <v>19</v>
      </c>
      <c r="S59" t="s">
        <v>18</v>
      </c>
      <c r="T59" t="s">
        <v>33</v>
      </c>
      <c r="U59" t="s">
        <v>34</v>
      </c>
      <c r="V59" t="s">
        <v>35</v>
      </c>
      <c r="W59" t="s">
        <v>36</v>
      </c>
      <c r="X59" t="s">
        <v>37</v>
      </c>
      <c r="Y59" t="s">
        <v>29</v>
      </c>
    </row>
    <row r="60" ht="14.25">
      <c r="A60">
        <v>100</v>
      </c>
      <c r="B60">
        <f t="shared" ref="B60:B99" si="6">$B$27*A60/100</f>
        <v>30</v>
      </c>
      <c r="C60">
        <f>$H$8</f>
        <v>222.74026727708366</v>
      </c>
      <c r="D60">
        <f>$C$60+$B$26*$B$7</f>
        <v>223.80026727708366</v>
      </c>
      <c r="E60">
        <f t="shared" ref="E60:E99" si="7">B60*$B$7</f>
        <v>1.5899999999999999</v>
      </c>
      <c r="F60">
        <f t="shared" ref="F60:F99" si="8">E60</f>
        <v>1.5899999999999999</v>
      </c>
      <c r="G60">
        <f t="shared" ref="G60:G99" si="9">$D$60+B60*$B$8*$B$14</f>
        <v>241.77017725561728</v>
      </c>
      <c r="H60">
        <f t="shared" ref="H60:H99" si="10">G60</f>
        <v>241.77017725561728</v>
      </c>
      <c r="I60">
        <f t="shared" ref="I60:I99" si="11">E60-$B$26*$B$14*$B$9</f>
        <v>-10.389939985689077</v>
      </c>
      <c r="J60">
        <f t="shared" ref="J60:J99" si="12">SQRT(I60*I60+H60*H60)</f>
        <v>241.99332524497203</v>
      </c>
      <c r="K60">
        <f t="shared" ref="K60:K99" si="13">1.5*$B$13*($B$26*$B$6+$B$26*B60*($B$8-$B$9))</f>
        <v>29.004721005892755</v>
      </c>
      <c r="N60">
        <f t="shared" ref="N60:N99" si="14">180*A60/100</f>
        <v>180</v>
      </c>
      <c r="O60">
        <f t="shared" ref="O60:O99" si="15">$B$31*SIN(N60/180*PI())</f>
        <v>1.7267519867977681e-14</v>
      </c>
      <c r="P60" s="6">
        <f t="shared" ref="P60:P99" si="16">$B$31*COS(N60/180*PI())</f>
        <v>-141</v>
      </c>
      <c r="Q60" s="6">
        <f>$H$8</f>
        <v>222.74026727708366</v>
      </c>
      <c r="R60" s="6">
        <f t="shared" ref="R60:R99" si="17">$Q$60+O60*$B$7</f>
        <v>222.74026727708366</v>
      </c>
      <c r="S60" s="6">
        <f t="shared" ref="S60:S99" si="18">P60*$B$7</f>
        <v>-7.4729999999999999</v>
      </c>
      <c r="T60" s="6">
        <f t="shared" ref="T60:T99" si="19">S60</f>
        <v>-7.4729999999999999</v>
      </c>
      <c r="U60" s="6">
        <f t="shared" ref="U60:U99" si="20">R60+P60*$B$8*$B$14</f>
        <v>138.28169037797568</v>
      </c>
      <c r="V60" s="6">
        <f t="shared" ref="V60:V99" si="21">U60</f>
        <v>138.28169037797568</v>
      </c>
      <c r="W60" s="6">
        <f t="shared" ref="W60:W99" si="22">S60-O60*$B$14*$B$9</f>
        <v>-7.4730000000000105</v>
      </c>
      <c r="X60" s="6">
        <f t="shared" ref="X60:X99" si="23">SQRT(W60*W60+V60*V60)</f>
        <v>138.48347057605949</v>
      </c>
      <c r="Y60" s="6">
        <f t="shared" ref="Y60:Y99" si="24">1.5*$B$13*(O60*$B$6+O60*P60*($B$8-$B$9))</f>
        <v>2.5041979811720138e-14</v>
      </c>
    </row>
    <row r="61" ht="14.25">
      <c r="A61">
        <v>99</v>
      </c>
      <c r="B61">
        <f t="shared" si="6"/>
        <v>29.699999999999999</v>
      </c>
      <c r="E61">
        <f t="shared" si="7"/>
        <v>1.5740999999999998</v>
      </c>
      <c r="F61">
        <f t="shared" si="8"/>
        <v>1.5740999999999998</v>
      </c>
      <c r="G61">
        <f t="shared" si="9"/>
        <v>241.59047815583193</v>
      </c>
      <c r="H61">
        <f t="shared" si="10"/>
        <v>241.59047815583193</v>
      </c>
      <c r="I61">
        <f t="shared" si="11"/>
        <v>-10.405839985689077</v>
      </c>
      <c r="J61">
        <f t="shared" si="12"/>
        <v>241.81447566548053</v>
      </c>
      <c r="K61" s="5">
        <f t="shared" si="13"/>
        <v>29.004721005892755</v>
      </c>
      <c r="N61" s="5">
        <f t="shared" si="14"/>
        <v>178.19999999999999</v>
      </c>
      <c r="O61" s="5">
        <f t="shared" si="15"/>
        <v>4.4289170300160814</v>
      </c>
      <c r="P61" s="6">
        <f t="shared" si="16"/>
        <v>-140.93042501156816</v>
      </c>
      <c r="Q61" s="6"/>
      <c r="R61" s="6">
        <f t="shared" si="17"/>
        <v>222.9749998796745</v>
      </c>
      <c r="S61" s="6">
        <f t="shared" si="18"/>
        <v>-7.4693125256131125</v>
      </c>
      <c r="T61" s="6">
        <f t="shared" si="19"/>
        <v>-7.4693125256131125</v>
      </c>
      <c r="U61" s="6">
        <f t="shared" si="20"/>
        <v>138.55809818986245</v>
      </c>
      <c r="V61" s="6">
        <f t="shared" si="21"/>
        <v>138.55809818986245</v>
      </c>
      <c r="W61" s="6">
        <f t="shared" si="22"/>
        <v>-10.122220536672561</v>
      </c>
      <c r="X61" s="6">
        <f t="shared" si="23"/>
        <v>138.92734044306974</v>
      </c>
      <c r="Y61" s="6">
        <f t="shared" si="24"/>
        <v>6.4229751406931799</v>
      </c>
    </row>
    <row r="62" ht="14.25">
      <c r="A62">
        <v>98</v>
      </c>
      <c r="B62">
        <f t="shared" si="6"/>
        <v>29.399999999999999</v>
      </c>
      <c r="E62">
        <f t="shared" si="7"/>
        <v>1.5581999999999998</v>
      </c>
      <c r="F62">
        <f t="shared" si="8"/>
        <v>1.5581999999999998</v>
      </c>
      <c r="G62">
        <f t="shared" si="9"/>
        <v>241.41077905604661</v>
      </c>
      <c r="H62">
        <f t="shared" si="10"/>
        <v>241.41077905604661</v>
      </c>
      <c r="I62">
        <f t="shared" si="11"/>
        <v>-10.421739985689078</v>
      </c>
      <c r="J62">
        <f t="shared" si="12"/>
        <v>241.6356283927862</v>
      </c>
      <c r="K62" s="5">
        <f t="shared" si="13"/>
        <v>29.004721005892755</v>
      </c>
      <c r="N62" s="5">
        <f t="shared" si="14"/>
        <v>176.40000000000001</v>
      </c>
      <c r="O62" s="5">
        <f t="shared" si="15"/>
        <v>8.8534632536332154</v>
      </c>
      <c r="P62" s="6">
        <f t="shared" si="16"/>
        <v>-140.72176870838629</v>
      </c>
      <c r="Q62" s="6"/>
      <c r="R62" s="6">
        <f t="shared" si="17"/>
        <v>223.20950082952623</v>
      </c>
      <c r="S62" s="6">
        <f t="shared" si="18"/>
        <v>-7.458253741544473</v>
      </c>
      <c r="T62" s="6">
        <f t="shared" si="19"/>
        <v>-7.458253741544473</v>
      </c>
      <c r="U62" s="6">
        <f t="shared" si="20"/>
        <v>138.91758363920189</v>
      </c>
      <c r="V62" s="6">
        <f t="shared" si="21"/>
        <v>138.91758363920189</v>
      </c>
      <c r="W62" s="6">
        <f t="shared" si="22"/>
        <v>-12.761451663745946</v>
      </c>
      <c r="X62" s="6">
        <f t="shared" si="23"/>
        <v>139.50250783667215</v>
      </c>
      <c r="Y62" s="6">
        <f t="shared" si="24"/>
        <v>12.839611580377747</v>
      </c>
    </row>
    <row r="63" ht="14.25">
      <c r="A63">
        <v>97</v>
      </c>
      <c r="B63">
        <f t="shared" si="6"/>
        <v>29.100000000000001</v>
      </c>
      <c r="E63">
        <f t="shared" si="7"/>
        <v>1.5423</v>
      </c>
      <c r="F63">
        <f t="shared" si="8"/>
        <v>1.5423</v>
      </c>
      <c r="G63">
        <f t="shared" si="9"/>
        <v>241.23107995626128</v>
      </c>
      <c r="H63">
        <f t="shared" si="10"/>
        <v>241.23107995626128</v>
      </c>
      <c r="I63">
        <f t="shared" si="11"/>
        <v>-10.437639985689078</v>
      </c>
      <c r="J63">
        <f t="shared" si="12"/>
        <v>241.45678343201496</v>
      </c>
      <c r="K63" s="5">
        <f t="shared" si="13"/>
        <v>29.004721005892755</v>
      </c>
      <c r="N63" s="5">
        <f t="shared" si="14"/>
        <v>174.59999999999999</v>
      </c>
      <c r="O63" s="5">
        <f t="shared" si="15"/>
        <v>13.269272177910524</v>
      </c>
      <c r="P63" s="6">
        <f t="shared" si="16"/>
        <v>-140.37423700903429</v>
      </c>
      <c r="Q63" s="6"/>
      <c r="R63" s="6">
        <f t="shared" si="17"/>
        <v>223.44353870251291</v>
      </c>
      <c r="S63" s="6">
        <f t="shared" si="18"/>
        <v>-7.4398345614788175</v>
      </c>
      <c r="T63" s="6">
        <f t="shared" si="19"/>
        <v>-7.4398345614788175</v>
      </c>
      <c r="U63" s="6">
        <f t="shared" si="20"/>
        <v>139.35979195725665</v>
      </c>
      <c r="V63" s="6">
        <f t="shared" si="21"/>
        <v>139.35979195725665</v>
      </c>
      <c r="W63" s="6">
        <f t="shared" si="22"/>
        <v>-15.388088778735911</v>
      </c>
      <c r="X63" s="6">
        <f t="shared" si="23"/>
        <v>140.20679331128042</v>
      </c>
      <c r="Y63" s="6">
        <f t="shared" si="24"/>
        <v>19.243576873577485</v>
      </c>
    </row>
    <row r="64" ht="14.25">
      <c r="A64">
        <v>96</v>
      </c>
      <c r="B64">
        <f t="shared" si="6"/>
        <v>28.800000000000001</v>
      </c>
      <c r="E64">
        <f t="shared" si="7"/>
        <v>1.5264</v>
      </c>
      <c r="F64">
        <f t="shared" si="8"/>
        <v>1.5264</v>
      </c>
      <c r="G64">
        <f t="shared" si="9"/>
        <v>241.05138085647593</v>
      </c>
      <c r="H64">
        <f t="shared" si="10"/>
        <v>241.05138085647593</v>
      </c>
      <c r="I64">
        <f t="shared" si="11"/>
        <v>-10.453539985689076</v>
      </c>
      <c r="J64">
        <f t="shared" si="12"/>
        <v>241.27794078830789</v>
      </c>
      <c r="K64" s="5">
        <f t="shared" si="13"/>
        <v>29.004721005892755</v>
      </c>
      <c r="N64" s="5">
        <f t="shared" si="14"/>
        <v>172.80000000000001</v>
      </c>
      <c r="O64" s="5">
        <f t="shared" si="15"/>
        <v>17.671985932566876</v>
      </c>
      <c r="P64" s="6">
        <f t="shared" si="16"/>
        <v>-139.88817288534139</v>
      </c>
      <c r="Q64" s="6"/>
      <c r="R64" s="6">
        <f t="shared" si="17"/>
        <v>223.6768825315097</v>
      </c>
      <c r="S64" s="6">
        <f t="shared" si="18"/>
        <v>-7.4140731629230938</v>
      </c>
      <c r="T64" s="6">
        <f t="shared" si="19"/>
        <v>-7.4140731629230938</v>
      </c>
      <c r="U64" s="6">
        <f t="shared" si="20"/>
        <v>139.88428673780533</v>
      </c>
      <c r="V64" s="6">
        <f t="shared" si="21"/>
        <v>139.88428673780533</v>
      </c>
      <c r="W64" s="6">
        <f t="shared" si="22"/>
        <v>-17.999539707927731</v>
      </c>
      <c r="X64" s="6">
        <f t="shared" si="23"/>
        <v>141.03757338327188</v>
      </c>
      <c r="Y64" s="6">
        <f t="shared" si="24"/>
        <v>25.628551079708188</v>
      </c>
    </row>
    <row r="65" ht="14.25">
      <c r="A65">
        <v>95</v>
      </c>
      <c r="B65">
        <f t="shared" si="6"/>
        <v>28.5</v>
      </c>
      <c r="E65">
        <f t="shared" si="7"/>
        <v>1.5105</v>
      </c>
      <c r="F65">
        <f t="shared" si="8"/>
        <v>1.5105</v>
      </c>
      <c r="G65">
        <f t="shared" si="9"/>
        <v>240.87168175669061</v>
      </c>
      <c r="H65">
        <f t="shared" si="10"/>
        <v>240.87168175669061</v>
      </c>
      <c r="I65">
        <f t="shared" si="11"/>
        <v>-10.469439985689077</v>
      </c>
      <c r="J65">
        <f t="shared" si="12"/>
        <v>241.09910046682128</v>
      </c>
      <c r="K65" s="5">
        <f t="shared" si="13"/>
        <v>29.004721005892755</v>
      </c>
      <c r="N65" s="5">
        <f t="shared" si="14"/>
        <v>171</v>
      </c>
      <c r="O65" s="5">
        <f t="shared" si="15"/>
        <v>22.057259570672567</v>
      </c>
      <c r="P65" s="6">
        <f t="shared" si="16"/>
        <v>-139.26405602391441</v>
      </c>
      <c r="Q65" s="6"/>
      <c r="R65" s="6">
        <f t="shared" si="17"/>
        <v>223.9093020343293</v>
      </c>
      <c r="S65" s="6">
        <f t="shared" si="18"/>
        <v>-7.380994969267463</v>
      </c>
      <c r="T65" s="6">
        <f t="shared" si="19"/>
        <v>-7.380994969267463</v>
      </c>
      <c r="U65" s="6">
        <f t="shared" si="20"/>
        <v>140.49055036782249</v>
      </c>
      <c r="V65" s="6">
        <f t="shared" si="21"/>
        <v>140.49055036782249</v>
      </c>
      <c r="W65" s="6">
        <f t="shared" si="22"/>
        <v>-20.59322726453863</v>
      </c>
      <c r="X65" s="6">
        <f t="shared" si="23"/>
        <v>141.99181579169488</v>
      </c>
      <c r="Y65" s="6">
        <f t="shared" si="24"/>
        <v>31.988233000095782</v>
      </c>
    </row>
    <row r="66" ht="14.25">
      <c r="A66">
        <v>94</v>
      </c>
      <c r="B66">
        <f t="shared" si="6"/>
        <v>28.199999999999999</v>
      </c>
      <c r="E66">
        <f t="shared" si="7"/>
        <v>1.4945999999999999</v>
      </c>
      <c r="F66">
        <f t="shared" si="8"/>
        <v>1.4945999999999999</v>
      </c>
      <c r="G66">
        <f t="shared" si="9"/>
        <v>240.69198265690525</v>
      </c>
      <c r="H66">
        <f t="shared" si="10"/>
        <v>240.69198265690525</v>
      </c>
      <c r="I66">
        <f t="shared" si="11"/>
        <v>-10.485339985689077</v>
      </c>
      <c r="J66">
        <f t="shared" si="12"/>
        <v>240.92026247272656</v>
      </c>
      <c r="K66" s="5">
        <f t="shared" si="13"/>
        <v>29.004721005892755</v>
      </c>
      <c r="N66" s="5">
        <f t="shared" si="14"/>
        <v>169.19999999999999</v>
      </c>
      <c r="O66" s="5">
        <f t="shared" si="15"/>
        <v>26.420765356587228</v>
      </c>
      <c r="P66" s="6">
        <f t="shared" si="16"/>
        <v>-138.5025023527451</v>
      </c>
      <c r="Q66" s="6"/>
      <c r="R66" s="6">
        <f t="shared" si="17"/>
        <v>224.14056784098278</v>
      </c>
      <c r="S66" s="6">
        <f t="shared" si="18"/>
        <v>-7.3406326246954903</v>
      </c>
      <c r="T66" s="6">
        <f t="shared" si="19"/>
        <v>-7.3406326246954903</v>
      </c>
      <c r="U66" s="6">
        <f t="shared" si="20"/>
        <v>141.17798453830045</v>
      </c>
      <c r="V66" s="6">
        <f t="shared" si="21"/>
        <v>141.17798453830045</v>
      </c>
      <c r="W66" s="6">
        <f t="shared" si="22"/>
        <v>-23.166591792089893</v>
      </c>
      <c r="X66" s="6">
        <f t="shared" si="23"/>
        <v>143.06611860799862</v>
      </c>
      <c r="Y66" s="6">
        <f t="shared" si="24"/>
        <v>38.31634639649846</v>
      </c>
    </row>
    <row r="67" ht="14.25">
      <c r="A67">
        <v>93</v>
      </c>
      <c r="B67">
        <f t="shared" si="6"/>
        <v>27.899999999999999</v>
      </c>
      <c r="E67">
        <f t="shared" si="7"/>
        <v>1.4786999999999999</v>
      </c>
      <c r="F67">
        <f t="shared" si="8"/>
        <v>1.4786999999999999</v>
      </c>
      <c r="G67">
        <f t="shared" si="9"/>
        <v>240.51228355711993</v>
      </c>
      <c r="H67">
        <f t="shared" si="10"/>
        <v>240.51228355711993</v>
      </c>
      <c r="I67">
        <f t="shared" si="11"/>
        <v>-10.501239985689077</v>
      </c>
      <c r="J67">
        <f t="shared" si="12"/>
        <v>240.74142681121066</v>
      </c>
      <c r="K67" s="5">
        <f t="shared" si="13"/>
        <v>29.004721005892755</v>
      </c>
      <c r="N67" s="5">
        <f t="shared" si="14"/>
        <v>167.40000000000001</v>
      </c>
      <c r="O67" s="5">
        <f t="shared" si="15"/>
        <v>30.758197036912467</v>
      </c>
      <c r="P67" s="6">
        <f t="shared" si="16"/>
        <v>-137.6042634333634</v>
      </c>
      <c r="Q67" s="6"/>
      <c r="R67" s="6">
        <f t="shared" si="17"/>
        <v>224.37045172004002</v>
      </c>
      <c r="S67" s="6">
        <f t="shared" si="18"/>
        <v>-7.2930259619682598</v>
      </c>
      <c r="T67" s="6">
        <f t="shared" si="19"/>
        <v>-7.2930259619682598</v>
      </c>
      <c r="U67" s="6">
        <f t="shared" si="20"/>
        <v>141.94591083470783</v>
      </c>
      <c r="V67" s="6">
        <f t="shared" si="21"/>
        <v>141.94591083470783</v>
      </c>
      <c r="W67" s="6">
        <f t="shared" si="22"/>
        <v>-25.717093690478805</v>
      </c>
      <c r="X67" s="6">
        <f t="shared" si="23"/>
        <v>144.25675204502454</v>
      </c>
      <c r="Y67" s="6">
        <f t="shared" si="24"/>
        <v>44.606646184996166</v>
      </c>
    </row>
    <row r="68" ht="14.25">
      <c r="A68">
        <v>92</v>
      </c>
      <c r="B68">
        <f t="shared" si="6"/>
        <v>27.600000000000001</v>
      </c>
      <c r="E68">
        <f t="shared" si="7"/>
        <v>1.4628000000000001</v>
      </c>
      <c r="F68">
        <f t="shared" si="8"/>
        <v>1.4628000000000001</v>
      </c>
      <c r="G68">
        <f t="shared" si="9"/>
        <v>240.33258445733458</v>
      </c>
      <c r="H68">
        <f t="shared" si="10"/>
        <v>240.33258445733458</v>
      </c>
      <c r="I68">
        <f t="shared" si="11"/>
        <v>-10.517139985689077</v>
      </c>
      <c r="J68">
        <f t="shared" si="12"/>
        <v>240.5625934874756</v>
      </c>
      <c r="K68" s="5">
        <f t="shared" si="13"/>
        <v>29.004721005892755</v>
      </c>
      <c r="N68" s="5">
        <f t="shared" si="14"/>
        <v>165.59999999999999</v>
      </c>
      <c r="O68" s="5">
        <f t="shared" si="15"/>
        <v>35.065274090244586</v>
      </c>
      <c r="P68" s="6">
        <f t="shared" si="16"/>
        <v>-136.57022571913697</v>
      </c>
      <c r="Q68" s="6"/>
      <c r="R68" s="6">
        <f t="shared" si="17"/>
        <v>224.59872680386661</v>
      </c>
      <c r="S68" s="6">
        <f t="shared" si="18"/>
        <v>-7.2382219631142597</v>
      </c>
      <c r="T68" s="6">
        <f t="shared" si="19"/>
        <v>-7.2382219631142597</v>
      </c>
      <c r="U68" s="6">
        <f t="shared" si="20"/>
        <v>142.79357140650302</v>
      </c>
      <c r="V68" s="6">
        <f t="shared" si="21"/>
        <v>142.79357140650302</v>
      </c>
      <c r="W68" s="6">
        <f t="shared" si="22"/>
        <v>-28.242215922257671</v>
      </c>
      <c r="X68" s="6">
        <f t="shared" si="23"/>
        <v>145.55970182445245</v>
      </c>
      <c r="Y68" s="6">
        <f t="shared" si="24"/>
        <v>50.852924599135207</v>
      </c>
    </row>
    <row r="69" ht="14.25">
      <c r="A69">
        <v>91</v>
      </c>
      <c r="B69">
        <f t="shared" si="6"/>
        <v>27.300000000000001</v>
      </c>
      <c r="E69">
        <f t="shared" si="7"/>
        <v>1.4469000000000001</v>
      </c>
      <c r="F69">
        <f t="shared" si="8"/>
        <v>1.4469000000000001</v>
      </c>
      <c r="G69">
        <f t="shared" si="9"/>
        <v>240.15288535754925</v>
      </c>
      <c r="H69">
        <f t="shared" si="10"/>
        <v>240.15288535754925</v>
      </c>
      <c r="I69">
        <f t="shared" si="11"/>
        <v>-10.533039985689078</v>
      </c>
      <c r="J69">
        <f t="shared" si="12"/>
        <v>240.38376250673903</v>
      </c>
      <c r="K69" s="5">
        <f t="shared" si="13"/>
        <v>29.004721005892755</v>
      </c>
      <c r="N69" s="5">
        <f t="shared" si="14"/>
        <v>163.80000000000001</v>
      </c>
      <c r="O69" s="5">
        <f t="shared" si="15"/>
        <v>39.337745951531303</v>
      </c>
      <c r="P69" s="6">
        <f t="shared" si="16"/>
        <v>-135.40140968044898</v>
      </c>
      <c r="Q69" s="6"/>
      <c r="R69" s="6">
        <f t="shared" si="17"/>
        <v>224.82516781251482</v>
      </c>
      <c r="S69" s="6">
        <f t="shared" si="18"/>
        <v>-7.1762747130637958</v>
      </c>
      <c r="T69" s="6">
        <f t="shared" si="19"/>
        <v>-7.1762747130637958</v>
      </c>
      <c r="U69" s="6">
        <f t="shared" si="20"/>
        <v>143.72012971504088</v>
      </c>
      <c r="V69" s="6">
        <f t="shared" si="21"/>
        <v>143.72012971504088</v>
      </c>
      <c r="W69" s="6">
        <f t="shared" si="22"/>
        <v>-30.739466496645221</v>
      </c>
      <c r="X69" s="6">
        <f t="shared" si="23"/>
        <v>146.9707130206782</v>
      </c>
      <c r="Y69" s="6">
        <f t="shared" si="24"/>
        <v>57.04901731624264</v>
      </c>
    </row>
    <row r="70" ht="14.25">
      <c r="A70">
        <v>90</v>
      </c>
      <c r="B70">
        <f t="shared" si="6"/>
        <v>27</v>
      </c>
      <c r="E70">
        <f t="shared" si="7"/>
        <v>1.431</v>
      </c>
      <c r="F70">
        <f t="shared" si="8"/>
        <v>1.431</v>
      </c>
      <c r="G70">
        <f t="shared" si="9"/>
        <v>239.97318625776393</v>
      </c>
      <c r="H70">
        <f t="shared" si="10"/>
        <v>239.97318625776393</v>
      </c>
      <c r="I70">
        <f t="shared" si="11"/>
        <v>-10.548939985689078</v>
      </c>
      <c r="J70">
        <f t="shared" si="12"/>
        <v>240.204933874234</v>
      </c>
      <c r="K70" s="5">
        <f t="shared" si="13"/>
        <v>29.004721005892755</v>
      </c>
      <c r="N70" s="5">
        <f t="shared" si="14"/>
        <v>162</v>
      </c>
      <c r="O70" s="5">
        <f t="shared" si="15"/>
        <v>43.571396206867597</v>
      </c>
      <c r="P70" s="6">
        <f t="shared" si="16"/>
        <v>-134.09896879761664</v>
      </c>
      <c r="Q70" s="6"/>
      <c r="R70" s="6">
        <f t="shared" si="17"/>
        <v>225.04955127604765</v>
      </c>
      <c r="S70" s="6">
        <f t="shared" si="18"/>
        <v>-7.1072453462736815</v>
      </c>
      <c r="T70" s="6">
        <f t="shared" si="19"/>
        <v>-7.1072453462736815</v>
      </c>
      <c r="U70" s="6">
        <f t="shared" si="20"/>
        <v>144.7246713591357</v>
      </c>
      <c r="V70" s="6">
        <f t="shared" si="21"/>
        <v>144.7246713591357</v>
      </c>
      <c r="W70" s="6">
        <f t="shared" si="22"/>
        <v>-33.206380928821403</v>
      </c>
      <c r="X70" s="6">
        <f t="shared" si="23"/>
        <v>148.48533339828492</v>
      </c>
      <c r="Y70" s="6">
        <f t="shared" si="24"/>
        <v>63.188809540870423</v>
      </c>
    </row>
    <row r="71" ht="14.25">
      <c r="A71">
        <v>89</v>
      </c>
      <c r="B71">
        <f t="shared" si="6"/>
        <v>26.699999999999999</v>
      </c>
      <c r="E71">
        <f t="shared" si="7"/>
        <v>1.4151</v>
      </c>
      <c r="F71">
        <f t="shared" si="8"/>
        <v>1.4151</v>
      </c>
      <c r="G71">
        <f t="shared" si="9"/>
        <v>239.79348715797857</v>
      </c>
      <c r="H71">
        <f t="shared" si="10"/>
        <v>239.79348715797857</v>
      </c>
      <c r="I71">
        <f t="shared" si="11"/>
        <v>-10.564839985689076</v>
      </c>
      <c r="J71">
        <f t="shared" si="12"/>
        <v>240.026107595209</v>
      </c>
      <c r="K71" s="5">
        <f t="shared" si="13"/>
        <v>29.004721005892755</v>
      </c>
      <c r="N71" s="5">
        <f t="shared" si="14"/>
        <v>160.19999999999999</v>
      </c>
      <c r="O71" s="5">
        <f t="shared" si="15"/>
        <v>47.762046754586137</v>
      </c>
      <c r="P71" s="6">
        <f t="shared" si="16"/>
        <v>-132.66418842254578</v>
      </c>
      <c r="Q71" s="6"/>
      <c r="R71" s="6">
        <f t="shared" si="17"/>
        <v>225.27165575507672</v>
      </c>
      <c r="S71" s="6">
        <f t="shared" si="18"/>
        <v>-7.031201986394926</v>
      </c>
      <c r="T71" s="6">
        <f t="shared" si="19"/>
        <v>-7.031201986394926</v>
      </c>
      <c r="U71" s="6">
        <f t="shared" si="20"/>
        <v>145.8062049774644</v>
      </c>
      <c r="V71" s="6">
        <f t="shared" si="21"/>
        <v>145.8062049774644</v>
      </c>
      <c r="W71" s="6">
        <f t="shared" si="22"/>
        <v>-35.640524672075813</v>
      </c>
      <c r="X71" s="6">
        <f t="shared" si="23"/>
        <v>150.09895538887409</v>
      </c>
      <c r="Y71" s="6">
        <f t="shared" si="24"/>
        <v>69.266242039358829</v>
      </c>
    </row>
    <row r="72" ht="14.25">
      <c r="A72">
        <v>88</v>
      </c>
      <c r="B72">
        <f t="shared" si="6"/>
        <v>26.399999999999999</v>
      </c>
      <c r="E72">
        <f t="shared" si="7"/>
        <v>1.3991999999999998</v>
      </c>
      <c r="F72">
        <f t="shared" si="8"/>
        <v>1.3991999999999998</v>
      </c>
      <c r="G72">
        <f t="shared" si="9"/>
        <v>239.61378805819325</v>
      </c>
      <c r="H72">
        <f t="shared" si="10"/>
        <v>239.61378805819325</v>
      </c>
      <c r="I72">
        <f t="shared" si="11"/>
        <v>-10.580739985689076</v>
      </c>
      <c r="J72">
        <f t="shared" si="12"/>
        <v>239.84728367492826</v>
      </c>
      <c r="K72" s="5">
        <f t="shared" si="13"/>
        <v>29.004721005892755</v>
      </c>
      <c r="N72" s="5">
        <f t="shared" si="14"/>
        <v>158.40000000000001</v>
      </c>
      <c r="O72" s="5">
        <f t="shared" si="15"/>
        <v>51.905561928539619</v>
      </c>
      <c r="P72" s="6">
        <f t="shared" si="16"/>
        <v>-131.09848451024345</v>
      </c>
      <c r="Q72" s="6"/>
      <c r="R72" s="6">
        <f t="shared" si="17"/>
        <v>225.49126205929625</v>
      </c>
      <c r="S72" s="6">
        <f t="shared" si="18"/>
        <v>-6.9482196790429027</v>
      </c>
      <c r="T72" s="6">
        <f t="shared" si="19"/>
        <v>-6.9482196790429027</v>
      </c>
      <c r="U72" s="6">
        <f t="shared" si="20"/>
        <v>146.96366322692097</v>
      </c>
      <c r="V72" s="6">
        <f t="shared" si="21"/>
        <v>146.96366322692097</v>
      </c>
      <c r="W72" s="6">
        <f t="shared" si="22"/>
        <v>-38.039495520411521</v>
      </c>
      <c r="X72" s="6">
        <f t="shared" si="23"/>
        <v>151.80685599973162</v>
      </c>
      <c r="Y72" s="6">
        <f t="shared" si="24"/>
        <v>75.275317119569024</v>
      </c>
    </row>
    <row r="73" ht="14.25">
      <c r="A73">
        <v>87</v>
      </c>
      <c r="B73">
        <f t="shared" si="6"/>
        <v>26.100000000000001</v>
      </c>
      <c r="E73">
        <f t="shared" si="7"/>
        <v>1.3833</v>
      </c>
      <c r="F73">
        <f t="shared" si="8"/>
        <v>1.3833</v>
      </c>
      <c r="G73">
        <f t="shared" si="9"/>
        <v>239.4340889584079</v>
      </c>
      <c r="H73">
        <f t="shared" si="10"/>
        <v>239.4340889584079</v>
      </c>
      <c r="I73">
        <f t="shared" si="11"/>
        <v>-10.596639985689077</v>
      </c>
      <c r="J73">
        <f t="shared" si="12"/>
        <v>239.66846211867153</v>
      </c>
      <c r="K73" s="5">
        <f t="shared" si="13"/>
        <v>29.004721005892755</v>
      </c>
      <c r="N73" s="5">
        <f t="shared" si="14"/>
        <v>156.59999999999999</v>
      </c>
      <c r="O73" s="5">
        <f t="shared" si="15"/>
        <v>55.99785257950407</v>
      </c>
      <c r="P73" s="6">
        <f t="shared" si="16"/>
        <v>-129.40340222144135</v>
      </c>
      <c r="Q73" s="6"/>
      <c r="R73" s="6">
        <f t="shared" si="17"/>
        <v>225.70815346379737</v>
      </c>
      <c r="S73" s="6">
        <f t="shared" si="18"/>
        <v>-6.8583803177363913</v>
      </c>
      <c r="T73" s="6">
        <f t="shared" si="19"/>
        <v>-6.8583803177363913</v>
      </c>
      <c r="U73" s="6">
        <f t="shared" si="20"/>
        <v>148.19590383595477</v>
      </c>
      <c r="V73" s="6">
        <f t="shared" si="21"/>
        <v>148.19590383595477</v>
      </c>
      <c r="W73" s="6">
        <f t="shared" si="22"/>
        <v>-40.400925979232539</v>
      </c>
      <c r="X73" s="6">
        <f t="shared" si="23"/>
        <v>153.60423410093543</v>
      </c>
      <c r="Y73" s="6">
        <f t="shared" si="24"/>
        <v>81.210104549881379</v>
      </c>
    </row>
    <row r="74" ht="14.25">
      <c r="A74">
        <v>86</v>
      </c>
      <c r="B74">
        <f t="shared" si="6"/>
        <v>25.800000000000001</v>
      </c>
      <c r="E74">
        <f t="shared" si="7"/>
        <v>1.3673999999999999</v>
      </c>
      <c r="F74">
        <f t="shared" si="8"/>
        <v>1.3673999999999999</v>
      </c>
      <c r="G74">
        <f t="shared" si="9"/>
        <v>239.25438985862257</v>
      </c>
      <c r="H74">
        <f t="shared" si="10"/>
        <v>239.25438985862257</v>
      </c>
      <c r="I74">
        <f t="shared" si="11"/>
        <v>-10.612539985689077</v>
      </c>
      <c r="J74">
        <f t="shared" si="12"/>
        <v>239.48964293173435</v>
      </c>
      <c r="K74" s="5">
        <f t="shared" si="13"/>
        <v>29.004721005892755</v>
      </c>
      <c r="N74" s="5">
        <f t="shared" si="14"/>
        <v>154.80000000000001</v>
      </c>
      <c r="O74" s="5">
        <f t="shared" si="15"/>
        <v>60.034880110675225</v>
      </c>
      <c r="P74" s="6">
        <f t="shared" si="16"/>
        <v>-127.58061439770876</v>
      </c>
      <c r="Q74" s="6"/>
      <c r="R74" s="6">
        <f t="shared" si="17"/>
        <v>225.92211592294944</v>
      </c>
      <c r="S74" s="6">
        <f t="shared" si="18"/>
        <v>-6.7617725630785639</v>
      </c>
      <c r="T74" s="6">
        <f t="shared" si="19"/>
        <v>-6.7617725630785639</v>
      </c>
      <c r="U74" s="6">
        <f t="shared" si="20"/>
        <v>149.50171073185493</v>
      </c>
      <c r="V74" s="6">
        <f t="shared" si="21"/>
        <v>149.50171073185493</v>
      </c>
      <c r="W74" s="6">
        <f t="shared" si="22"/>
        <v>-42.722485601774963</v>
      </c>
      <c r="X74" s="6">
        <f t="shared" si="23"/>
        <v>155.48624468982811</v>
      </c>
      <c r="Y74" s="6">
        <f t="shared" si="24"/>
        <v>87.064747411617745</v>
      </c>
    </row>
    <row r="75" ht="14.25">
      <c r="A75">
        <v>85</v>
      </c>
      <c r="B75">
        <f t="shared" si="6"/>
        <v>25.5</v>
      </c>
      <c r="E75">
        <f t="shared" si="7"/>
        <v>1.3514999999999999</v>
      </c>
      <c r="F75">
        <f t="shared" si="8"/>
        <v>1.3514999999999999</v>
      </c>
      <c r="G75">
        <f t="shared" si="9"/>
        <v>239.07469075883722</v>
      </c>
      <c r="H75">
        <f t="shared" si="10"/>
        <v>239.07469075883722</v>
      </c>
      <c r="I75">
        <f t="shared" si="11"/>
        <v>-10.628439985689077</v>
      </c>
      <c r="J75">
        <f t="shared" si="12"/>
        <v>239.31082611942787</v>
      </c>
      <c r="K75" s="5">
        <f t="shared" si="13"/>
        <v>29.004721005892755</v>
      </c>
      <c r="N75" s="5">
        <f t="shared" si="14"/>
        <v>153</v>
      </c>
      <c r="O75" s="5">
        <f t="shared" si="15"/>
        <v>64.012660463276106</v>
      </c>
      <c r="P75" s="6">
        <f t="shared" si="16"/>
        <v>-125.63191991055986</v>
      </c>
      <c r="Q75" s="6"/>
      <c r="R75" s="6">
        <f t="shared" si="17"/>
        <v>226.13293828163728</v>
      </c>
      <c r="S75" s="6">
        <f t="shared" si="18"/>
        <v>-6.6584917552596723</v>
      </c>
      <c r="T75" s="6">
        <f t="shared" si="19"/>
        <v>-6.6584917552596723</v>
      </c>
      <c r="U75" s="6">
        <f t="shared" si="20"/>
        <v>150.87979524086711</v>
      </c>
      <c r="V75" s="6">
        <f t="shared" si="21"/>
        <v>150.87979524086711</v>
      </c>
      <c r="W75" s="6">
        <f t="shared" si="22"/>
        <v>-45.001883288976657</v>
      </c>
      <c r="X75" s="6">
        <f t="shared" si="23"/>
        <v>157.44802987487859</v>
      </c>
      <c r="Y75" s="6">
        <f t="shared" si="24"/>
        <v>92.833467879113272</v>
      </c>
    </row>
    <row r="76" ht="14.25">
      <c r="A76">
        <v>84</v>
      </c>
      <c r="B76">
        <f t="shared" si="6"/>
        <v>25.199999999999999</v>
      </c>
      <c r="E76">
        <f t="shared" si="7"/>
        <v>1.3355999999999999</v>
      </c>
      <c r="F76">
        <f t="shared" si="8"/>
        <v>1.3355999999999999</v>
      </c>
      <c r="G76">
        <f t="shared" si="9"/>
        <v>238.8949916590519</v>
      </c>
      <c r="H76">
        <f t="shared" si="10"/>
        <v>238.8949916590519</v>
      </c>
      <c r="I76">
        <f t="shared" si="11"/>
        <v>-10.644339985689077</v>
      </c>
      <c r="J76">
        <f t="shared" si="12"/>
        <v>239.13201168707926</v>
      </c>
      <c r="K76" s="5">
        <f t="shared" si="13"/>
        <v>29.004721005892755</v>
      </c>
      <c r="N76" s="5">
        <f t="shared" si="14"/>
        <v>151.19999999999999</v>
      </c>
      <c r="O76" s="5">
        <f t="shared" si="15"/>
        <v>67.927268048341901</v>
      </c>
      <c r="P76" s="6">
        <f t="shared" si="16"/>
        <v>-123.55924188618475</v>
      </c>
      <c r="Q76" s="6"/>
      <c r="R76" s="6">
        <f t="shared" si="17"/>
        <v>226.34041248364579</v>
      </c>
      <c r="S76" s="6">
        <f t="shared" si="18"/>
        <v>-6.548639819967792</v>
      </c>
      <c r="T76" s="6">
        <f t="shared" si="19"/>
        <v>-6.548639819967792</v>
      </c>
      <c r="U76" s="6">
        <f t="shared" si="20"/>
        <v>152.32879735995914</v>
      </c>
      <c r="V76" s="6">
        <f t="shared" si="21"/>
        <v>152.32879735995914</v>
      </c>
      <c r="W76" s="6">
        <f t="shared" si="22"/>
        <v>-47.236869550515351</v>
      </c>
      <c r="X76" s="6">
        <f t="shared" si="23"/>
        <v>159.48474644950812</v>
      </c>
      <c r="Y76" s="6">
        <f t="shared" si="24"/>
        <v>98.510572921732518</v>
      </c>
    </row>
    <row r="77" ht="14.25">
      <c r="A77">
        <v>83</v>
      </c>
      <c r="B77">
        <f t="shared" si="6"/>
        <v>24.899999999999999</v>
      </c>
      <c r="E77">
        <f t="shared" si="7"/>
        <v>1.3196999999999999</v>
      </c>
      <c r="F77">
        <f t="shared" si="8"/>
        <v>1.3196999999999999</v>
      </c>
      <c r="G77">
        <f t="shared" si="9"/>
        <v>238.71529255926657</v>
      </c>
      <c r="H77">
        <f t="shared" si="10"/>
        <v>238.71529255926657</v>
      </c>
      <c r="I77">
        <f t="shared" si="11"/>
        <v>-10.660239985689078</v>
      </c>
      <c r="J77">
        <f t="shared" si="12"/>
        <v>238.95319964003144</v>
      </c>
      <c r="K77" s="5">
        <f t="shared" si="13"/>
        <v>29.004721005892755</v>
      </c>
      <c r="N77" s="5">
        <f t="shared" si="14"/>
        <v>149.40000000000001</v>
      </c>
      <c r="O77" s="5">
        <f t="shared" si="15"/>
        <v>71.774839620802325</v>
      </c>
      <c r="P77" s="6">
        <f t="shared" si="16"/>
        <v>-121.36462580755607</v>
      </c>
      <c r="Q77" s="6"/>
      <c r="R77" s="6">
        <f t="shared" si="17"/>
        <v>226.54433377698618</v>
      </c>
      <c r="S77" s="6">
        <f t="shared" si="18"/>
        <v>-6.4323251678004709</v>
      </c>
      <c r="T77" s="6">
        <f t="shared" si="19"/>
        <v>-6.4323251678004709</v>
      </c>
      <c r="U77" s="6">
        <f t="shared" si="20"/>
        <v>153.84728709897951</v>
      </c>
      <c r="V77" s="6">
        <f t="shared" si="21"/>
        <v>153.84728709897951</v>
      </c>
      <c r="W77" s="6">
        <f t="shared" si="22"/>
        <v>-49.425238724783988</v>
      </c>
      <c r="X77" s="6">
        <f t="shared" si="23"/>
        <v>161.59159003709851</v>
      </c>
      <c r="Y77" s="6">
        <f t="shared" si="24"/>
        <v>104.09045992220345</v>
      </c>
    </row>
    <row r="78" ht="14.25">
      <c r="A78">
        <v>82</v>
      </c>
      <c r="B78">
        <f t="shared" si="6"/>
        <v>24.600000000000001</v>
      </c>
      <c r="E78">
        <f t="shared" si="7"/>
        <v>1.3038000000000001</v>
      </c>
      <c r="F78">
        <f t="shared" si="8"/>
        <v>1.3038000000000001</v>
      </c>
      <c r="G78">
        <f t="shared" si="9"/>
        <v>238.53559345948122</v>
      </c>
      <c r="H78">
        <f t="shared" si="10"/>
        <v>238.53559345948122</v>
      </c>
      <c r="I78">
        <f t="shared" si="11"/>
        <v>-10.676139985689076</v>
      </c>
      <c r="J78">
        <f t="shared" si="12"/>
        <v>238.7743899836432</v>
      </c>
      <c r="K78" s="5">
        <f t="shared" si="13"/>
        <v>29.004721005892755</v>
      </c>
      <c r="N78" s="5">
        <f t="shared" si="14"/>
        <v>147.59999999999999</v>
      </c>
      <c r="O78" s="5">
        <f t="shared" si="15"/>
        <v>75.551578092038582</v>
      </c>
      <c r="P78" s="6">
        <f t="shared" si="16"/>
        <v>-119.05023749578409</v>
      </c>
      <c r="Q78" s="6"/>
      <c r="R78" s="6">
        <f t="shared" si="17"/>
        <v>226.74450091596171</v>
      </c>
      <c r="S78" s="6">
        <f t="shared" si="18"/>
        <v>-6.3096625872765566</v>
      </c>
      <c r="T78" s="6">
        <f t="shared" si="19"/>
        <v>-6.3096625872765566</v>
      </c>
      <c r="U78" s="6">
        <f t="shared" si="20"/>
        <v>155.43376589188546</v>
      </c>
      <c r="V78" s="6">
        <f t="shared" si="21"/>
        <v>155.43376589188546</v>
      </c>
      <c r="W78" s="6">
        <f t="shared" si="22"/>
        <v>-51.564831155612744</v>
      </c>
      <c r="X78" s="6">
        <f t="shared" si="23"/>
        <v>163.76381587957795</v>
      </c>
      <c r="Y78" s="6">
        <f t="shared" si="24"/>
        <v>109.56762220572492</v>
      </c>
    </row>
    <row r="79" ht="14.25">
      <c r="A79">
        <v>81</v>
      </c>
      <c r="B79">
        <f t="shared" si="6"/>
        <v>24.300000000000001</v>
      </c>
      <c r="E79">
        <f t="shared" si="7"/>
        <v>1.2879</v>
      </c>
      <c r="F79">
        <f t="shared" si="8"/>
        <v>1.2879</v>
      </c>
      <c r="G79">
        <f t="shared" si="9"/>
        <v>238.3558943596959</v>
      </c>
      <c r="H79">
        <f t="shared" si="10"/>
        <v>238.3558943596959</v>
      </c>
      <c r="I79">
        <f t="shared" si="11"/>
        <v>-10.692039985689076</v>
      </c>
      <c r="J79">
        <f t="shared" si="12"/>
        <v>238.59558272328951</v>
      </c>
      <c r="K79" s="5">
        <f t="shared" si="13"/>
        <v>29.004721005892755</v>
      </c>
      <c r="N79" s="5">
        <f t="shared" si="14"/>
        <v>145.80000000000001</v>
      </c>
      <c r="O79" s="5">
        <f t="shared" si="15"/>
        <v>79.253756277150401</v>
      </c>
      <c r="P79" s="6">
        <f t="shared" si="16"/>
        <v>-116.61836097271323</v>
      </c>
      <c r="Q79" s="6"/>
      <c r="R79" s="6">
        <f t="shared" si="17"/>
        <v>226.94071635977264</v>
      </c>
      <c r="S79" s="6">
        <f t="shared" si="18"/>
        <v>-6.180773131553801</v>
      </c>
      <c r="T79" s="6">
        <f t="shared" si="19"/>
        <v>-6.180773131553801</v>
      </c>
      <c r="U79" s="6">
        <f t="shared" si="20"/>
        <v>157.08666807564614</v>
      </c>
      <c r="V79" s="6">
        <f t="shared" si="21"/>
        <v>157.08666807564614</v>
      </c>
      <c r="W79" s="6">
        <f t="shared" si="22"/>
        <v>-53.653535323588336</v>
      </c>
      <c r="X79" s="6">
        <f t="shared" si="23"/>
        <v>165.99675641357504</v>
      </c>
      <c r="Y79" s="6">
        <f t="shared" si="24"/>
        <v>114.93665447438846</v>
      </c>
    </row>
    <row r="80" ht="14.25">
      <c r="A80">
        <v>80</v>
      </c>
      <c r="B80">
        <f t="shared" si="6"/>
        <v>24</v>
      </c>
      <c r="E80">
        <f t="shared" si="7"/>
        <v>1.272</v>
      </c>
      <c r="F80">
        <f t="shared" si="8"/>
        <v>1.272</v>
      </c>
      <c r="G80">
        <f t="shared" si="9"/>
        <v>238.17619525991054</v>
      </c>
      <c r="H80">
        <f t="shared" si="10"/>
        <v>238.17619525991054</v>
      </c>
      <c r="I80">
        <f t="shared" si="11"/>
        <v>-10.707939985689077</v>
      </c>
      <c r="J80">
        <f t="shared" si="12"/>
        <v>238.41677786436119</v>
      </c>
      <c r="K80" s="5">
        <f t="shared" si="13"/>
        <v>29.004721005892755</v>
      </c>
      <c r="N80" s="5">
        <f t="shared" si="14"/>
        <v>144</v>
      </c>
      <c r="O80" s="5">
        <f t="shared" si="15"/>
        <v>82.877720573238733</v>
      </c>
      <c r="P80" s="6">
        <f t="shared" si="16"/>
        <v>-114.07139620686758</v>
      </c>
      <c r="Q80" s="6"/>
      <c r="R80" s="6">
        <f t="shared" si="17"/>
        <v>227.13278646746531</v>
      </c>
      <c r="S80" s="6">
        <f t="shared" si="18"/>
        <v>-6.045783998963981</v>
      </c>
      <c r="T80" s="6">
        <f t="shared" si="19"/>
        <v>-6.045783998963981</v>
      </c>
      <c r="U80" s="6">
        <f t="shared" si="20"/>
        <v>158.8043624353636</v>
      </c>
      <c r="V80" s="6">
        <f t="shared" si="21"/>
        <v>158.8043624353636</v>
      </c>
      <c r="W80" s="6">
        <f t="shared" si="22"/>
        <v>-55.689289929869432</v>
      </c>
      <c r="X80" s="6">
        <f t="shared" si="23"/>
        <v>168.28583583116963</v>
      </c>
      <c r="Y80" s="6">
        <f t="shared" si="24"/>
        <v>120.19225814155638</v>
      </c>
    </row>
    <row r="81" ht="14.25">
      <c r="A81">
        <v>79</v>
      </c>
      <c r="B81">
        <f t="shared" si="6"/>
        <v>23.699999999999999</v>
      </c>
      <c r="E81">
        <f t="shared" si="7"/>
        <v>1.2561</v>
      </c>
      <c r="F81">
        <f t="shared" si="8"/>
        <v>1.2561</v>
      </c>
      <c r="G81">
        <f t="shared" si="9"/>
        <v>237.99649616012522</v>
      </c>
      <c r="H81">
        <f t="shared" si="10"/>
        <v>237.99649616012522</v>
      </c>
      <c r="I81">
        <f t="shared" si="11"/>
        <v>-10.723839985689077</v>
      </c>
      <c r="J81">
        <f t="shared" si="12"/>
        <v>238.23797541226537</v>
      </c>
      <c r="K81" s="5">
        <f t="shared" si="13"/>
        <v>29.004721005892755</v>
      </c>
      <c r="N81" s="5">
        <f t="shared" si="14"/>
        <v>142.19999999999999</v>
      </c>
      <c r="O81" s="5">
        <f t="shared" si="15"/>
        <v>86.419894565069725</v>
      </c>
      <c r="P81" s="6">
        <f t="shared" si="16"/>
        <v>-111.41185674497231</v>
      </c>
      <c r="Q81" s="6"/>
      <c r="R81" s="6">
        <f t="shared" si="17"/>
        <v>227.32052168903235</v>
      </c>
      <c r="S81" s="6">
        <f t="shared" si="18"/>
        <v>-5.9048284074835324</v>
      </c>
      <c r="T81" s="6">
        <f t="shared" si="19"/>
        <v>-5.9048284074835324</v>
      </c>
      <c r="U81" s="6">
        <f t="shared" si="20"/>
        <v>160.58515381408449</v>
      </c>
      <c r="V81" s="6">
        <f t="shared" si="21"/>
        <v>160.58515381408449</v>
      </c>
      <c r="W81" s="6">
        <f t="shared" si="22"/>
        <v>-57.670085930439178</v>
      </c>
      <c r="X81" s="6">
        <f t="shared" si="23"/>
        <v>170.62658185850592</v>
      </c>
      <c r="Y81" s="6">
        <f t="shared" si="24"/>
        <v>125.32924656092575</v>
      </c>
    </row>
    <row r="82" ht="14.25">
      <c r="A82">
        <v>78</v>
      </c>
      <c r="B82">
        <f t="shared" si="6"/>
        <v>23.399999999999999</v>
      </c>
      <c r="E82">
        <f t="shared" si="7"/>
        <v>1.2402</v>
      </c>
      <c r="F82">
        <f t="shared" si="8"/>
        <v>1.2402</v>
      </c>
      <c r="G82">
        <f t="shared" si="9"/>
        <v>237.81679706033989</v>
      </c>
      <c r="H82">
        <f t="shared" si="10"/>
        <v>237.81679706033989</v>
      </c>
      <c r="I82">
        <f t="shared" si="11"/>
        <v>-10.739739985689077</v>
      </c>
      <c r="J82">
        <f t="shared" si="12"/>
        <v>238.05917537242522</v>
      </c>
      <c r="K82" s="5">
        <f t="shared" si="13"/>
        <v>29.004721005892755</v>
      </c>
      <c r="N82" s="5">
        <f t="shared" si="14"/>
        <v>140.40000000000001</v>
      </c>
      <c r="O82" s="5">
        <f t="shared" si="15"/>
        <v>89.876782554565267</v>
      </c>
      <c r="P82" s="6">
        <f t="shared" si="16"/>
        <v>-108.64236723138627</v>
      </c>
      <c r="Q82" s="6"/>
      <c r="R82" s="6">
        <f t="shared" si="17"/>
        <v>227.50373675247562</v>
      </c>
      <c r="S82" s="6">
        <f t="shared" si="18"/>
        <v>-5.7580454632634721</v>
      </c>
      <c r="T82" s="6">
        <f t="shared" si="19"/>
        <v>-5.7580454632634721</v>
      </c>
      <c r="U82" s="6">
        <f t="shared" si="20"/>
        <v>162.42728478571556</v>
      </c>
      <c r="V82" s="6">
        <f t="shared" si="21"/>
        <v>162.42728478571556</v>
      </c>
      <c r="W82" s="6">
        <f t="shared" si="22"/>
        <v>-59.59396851878941</v>
      </c>
      <c r="X82" s="6">
        <f t="shared" si="23"/>
        <v>173.0146350072109</v>
      </c>
      <c r="Y82" s="6">
        <f t="shared" si="24"/>
        <v>130.34255014512274</v>
      </c>
    </row>
    <row r="83" ht="14.25">
      <c r="A83">
        <v>77</v>
      </c>
      <c r="B83">
        <f t="shared" si="6"/>
        <v>23.100000000000001</v>
      </c>
      <c r="E83">
        <f t="shared" si="7"/>
        <v>1.2242999999999999</v>
      </c>
      <c r="F83">
        <f t="shared" si="8"/>
        <v>1.2242999999999999</v>
      </c>
      <c r="G83">
        <f t="shared" si="9"/>
        <v>237.63709796055454</v>
      </c>
      <c r="H83">
        <f t="shared" si="10"/>
        <v>237.63709796055454</v>
      </c>
      <c r="I83">
        <f t="shared" si="11"/>
        <v>-10.755639985689077</v>
      </c>
      <c r="J83">
        <f t="shared" si="12"/>
        <v>237.88037775028008</v>
      </c>
      <c r="K83" s="5">
        <f t="shared" si="13"/>
        <v>29.004721005892755</v>
      </c>
      <c r="N83" s="5">
        <f t="shared" si="14"/>
        <v>138.59999999999999</v>
      </c>
      <c r="O83" s="5">
        <f t="shared" si="15"/>
        <v>93.244973010634908</v>
      </c>
      <c r="P83" s="6">
        <f t="shared" si="16"/>
        <v>-105.76566081789478</v>
      </c>
      <c r="Q83" s="6"/>
      <c r="R83" s="6">
        <f t="shared" si="17"/>
        <v>227.68225084664732</v>
      </c>
      <c r="S83" s="6">
        <f t="shared" si="18"/>
        <v>-5.6055800233484234</v>
      </c>
      <c r="T83" s="6">
        <f t="shared" si="19"/>
        <v>-5.6055800233484234</v>
      </c>
      <c r="U83" s="6">
        <f t="shared" si="20"/>
        <v>164.328937389391</v>
      </c>
      <c r="V83" s="6">
        <f t="shared" si="21"/>
        <v>164.328937389391</v>
      </c>
      <c r="W83" s="6">
        <f t="shared" si="22"/>
        <v>-61.45903905507862</v>
      </c>
      <c r="X83" s="6">
        <f t="shared" si="23"/>
        <v>175.44575556308016</v>
      </c>
      <c r="Y83" s="6">
        <f t="shared" si="24"/>
        <v>135.22722136877329</v>
      </c>
    </row>
    <row r="84" ht="14.25">
      <c r="A84">
        <v>76</v>
      </c>
      <c r="B84">
        <f t="shared" si="6"/>
        <v>22.800000000000001</v>
      </c>
      <c r="E84">
        <f t="shared" si="7"/>
        <v>1.2083999999999999</v>
      </c>
      <c r="F84">
        <f t="shared" si="8"/>
        <v>1.2083999999999999</v>
      </c>
      <c r="G84">
        <f t="shared" si="9"/>
        <v>237.45739886076922</v>
      </c>
      <c r="H84">
        <f t="shared" si="10"/>
        <v>237.45739886076922</v>
      </c>
      <c r="I84">
        <f t="shared" si="11"/>
        <v>-10.771539985689078</v>
      </c>
      <c r="J84">
        <f t="shared" si="12"/>
        <v>237.70158255128581</v>
      </c>
      <c r="K84" s="5">
        <f t="shared" si="13"/>
        <v>29.004721005892755</v>
      </c>
      <c r="N84" s="5">
        <f t="shared" si="14"/>
        <v>136.80000000000001</v>
      </c>
      <c r="O84" s="5">
        <f t="shared" si="15"/>
        <v>96.521141935945124</v>
      </c>
      <c r="P84" s="6">
        <f t="shared" si="16"/>
        <v>-102.784576466419</v>
      </c>
      <c r="Q84" s="6"/>
      <c r="R84" s="6">
        <f t="shared" si="17"/>
        <v>227.85588779968876</v>
      </c>
      <c r="S84" s="6">
        <f t="shared" si="18"/>
        <v>-5.4475825527202071</v>
      </c>
      <c r="T84" s="6">
        <f t="shared" si="19"/>
        <v>-5.4475825527202071</v>
      </c>
      <c r="U84" s="6">
        <f t="shared" si="20"/>
        <v>166.28823492358029</v>
      </c>
      <c r="V84" s="6">
        <f t="shared" si="21"/>
        <v>166.28823492358029</v>
      </c>
      <c r="W84" s="6">
        <f t="shared" si="22"/>
        <v>-63.263456939860198</v>
      </c>
      <c r="X84" s="6">
        <f t="shared" si="23"/>
        <v>177.91582857627191</v>
      </c>
      <c r="Y84" s="6">
        <f t="shared" si="24"/>
        <v>139.97843965111318</v>
      </c>
    </row>
    <row r="85" ht="14.25">
      <c r="A85">
        <v>75</v>
      </c>
      <c r="B85">
        <f t="shared" si="6"/>
        <v>22.5</v>
      </c>
      <c r="E85">
        <f t="shared" si="7"/>
        <v>1.1924999999999999</v>
      </c>
      <c r="F85">
        <f t="shared" si="8"/>
        <v>1.1924999999999999</v>
      </c>
      <c r="G85">
        <f t="shared" si="9"/>
        <v>237.27769976098386</v>
      </c>
      <c r="H85">
        <f t="shared" si="10"/>
        <v>237.27769976098386</v>
      </c>
      <c r="I85">
        <f t="shared" si="11"/>
        <v>-10.787439985689076</v>
      </c>
      <c r="J85">
        <f t="shared" si="12"/>
        <v>237.52278978091437</v>
      </c>
      <c r="K85" s="5">
        <f t="shared" si="13"/>
        <v>29.004721005892755</v>
      </c>
      <c r="N85" s="5">
        <f t="shared" si="14"/>
        <v>135</v>
      </c>
      <c r="O85" s="5">
        <f t="shared" si="15"/>
        <v>99.70205614730321</v>
      </c>
      <c r="P85" s="6">
        <f t="shared" si="16"/>
        <v>-99.702056147303196</v>
      </c>
      <c r="Q85" s="6"/>
      <c r="R85" s="6">
        <f t="shared" si="17"/>
        <v>228.02447625289074</v>
      </c>
      <c r="S85" s="6">
        <f t="shared" si="18"/>
        <v>-5.2842089758070694</v>
      </c>
      <c r="T85" s="6">
        <f t="shared" si="19"/>
        <v>-5.2842089758070694</v>
      </c>
      <c r="U85" s="6">
        <f t="shared" si="20"/>
        <v>168.30324379816599</v>
      </c>
      <c r="V85" s="6">
        <f t="shared" si="21"/>
        <v>168.30324379816599</v>
      </c>
      <c r="W85" s="6">
        <f t="shared" si="22"/>
        <v>-65.005441430531818</v>
      </c>
      <c r="X85" s="6">
        <f t="shared" si="23"/>
        <v>180.4208671095536</v>
      </c>
      <c r="Y85" s="6">
        <f t="shared" si="24"/>
        <v>144.59151611331922</v>
      </c>
    </row>
    <row r="86" ht="14.25">
      <c r="A86">
        <v>74</v>
      </c>
      <c r="B86">
        <f t="shared" si="6"/>
        <v>22.199999999999999</v>
      </c>
      <c r="E86">
        <f t="shared" si="7"/>
        <v>1.1765999999999999</v>
      </c>
      <c r="F86">
        <f t="shared" si="8"/>
        <v>1.1765999999999999</v>
      </c>
      <c r="G86">
        <f t="shared" si="9"/>
        <v>237.09800066119854</v>
      </c>
      <c r="H86">
        <f t="shared" si="10"/>
        <v>237.09800066119854</v>
      </c>
      <c r="I86">
        <f t="shared" si="11"/>
        <v>-10.803339985689076</v>
      </c>
      <c r="J86">
        <f t="shared" si="12"/>
        <v>237.34399944465437</v>
      </c>
      <c r="K86" s="5">
        <f t="shared" si="13"/>
        <v>29.004721005892755</v>
      </c>
      <c r="N86" s="5">
        <f t="shared" si="14"/>
        <v>133.19999999999999</v>
      </c>
      <c r="O86" s="5">
        <f t="shared" si="15"/>
        <v>102.78457646641901</v>
      </c>
      <c r="P86" s="6">
        <f t="shared" si="16"/>
        <v>-96.52114193594511</v>
      </c>
      <c r="Q86" s="6"/>
      <c r="R86" s="6">
        <f t="shared" si="17"/>
        <v>228.18784982980387</v>
      </c>
      <c r="S86" s="6">
        <f t="shared" si="18"/>
        <v>-5.1156205226050906</v>
      </c>
      <c r="T86" s="6">
        <f t="shared" si="19"/>
        <v>-5.1156205226050906</v>
      </c>
      <c r="U86" s="6">
        <f t="shared" si="20"/>
        <v>170.37197544266388</v>
      </c>
      <c r="V86" s="6">
        <f t="shared" si="21"/>
        <v>170.37197544266388</v>
      </c>
      <c r="W86" s="6">
        <f t="shared" si="22"/>
        <v>-66.683273398713567</v>
      </c>
      <c r="X86" s="6">
        <f t="shared" si="23"/>
        <v>182.95701398799457</v>
      </c>
      <c r="Y86" s="6">
        <f t="shared" si="24"/>
        <v>149.0618982058667</v>
      </c>
    </row>
    <row r="87" ht="14.25">
      <c r="A87">
        <v>73</v>
      </c>
      <c r="B87">
        <f t="shared" si="6"/>
        <v>21.899999999999999</v>
      </c>
      <c r="E87">
        <f t="shared" si="7"/>
        <v>1.1606999999999998</v>
      </c>
      <c r="F87">
        <f t="shared" si="8"/>
        <v>1.1606999999999998</v>
      </c>
      <c r="G87">
        <f t="shared" si="9"/>
        <v>236.91830156141322</v>
      </c>
      <c r="H87">
        <f t="shared" si="10"/>
        <v>236.91830156141322</v>
      </c>
      <c r="I87">
        <f t="shared" si="11"/>
        <v>-10.819239985689077</v>
      </c>
      <c r="J87">
        <f t="shared" si="12"/>
        <v>237.16521154801069</v>
      </c>
      <c r="K87" s="5">
        <f t="shared" si="13"/>
        <v>29.004721005892755</v>
      </c>
      <c r="N87" s="5">
        <f t="shared" si="14"/>
        <v>131.40000000000001</v>
      </c>
      <c r="O87" s="5">
        <f t="shared" si="15"/>
        <v>105.7656608178948</v>
      </c>
      <c r="P87" s="6">
        <f t="shared" si="16"/>
        <v>-93.244973010634894</v>
      </c>
      <c r="Q87" s="6"/>
      <c r="R87" s="6">
        <f t="shared" si="17"/>
        <v>228.3458473004321</v>
      </c>
      <c r="S87" s="6">
        <f t="shared" si="18"/>
        <v>-4.9419835695636491</v>
      </c>
      <c r="T87" s="6">
        <f t="shared" si="19"/>
        <v>-4.9419835695636491</v>
      </c>
      <c r="U87" s="6">
        <f t="shared" si="20"/>
        <v>172.49238826870192</v>
      </c>
      <c r="V87" s="6">
        <f t="shared" si="21"/>
        <v>172.49238826870192</v>
      </c>
      <c r="W87" s="6">
        <f t="shared" si="22"/>
        <v>-68.295297026819966</v>
      </c>
      <c r="X87" s="6">
        <f t="shared" si="23"/>
        <v>185.52054227664973</v>
      </c>
      <c r="Y87" s="6">
        <f t="shared" si="24"/>
        <v>153.3851742013461</v>
      </c>
    </row>
    <row r="88" ht="14.25">
      <c r="A88">
        <v>72</v>
      </c>
      <c r="B88">
        <f t="shared" si="6"/>
        <v>21.600000000000001</v>
      </c>
      <c r="E88">
        <f t="shared" si="7"/>
        <v>1.1448</v>
      </c>
      <c r="F88">
        <f t="shared" si="8"/>
        <v>1.1448</v>
      </c>
      <c r="G88">
        <f t="shared" si="9"/>
        <v>236.73860246162786</v>
      </c>
      <c r="H88">
        <f t="shared" si="10"/>
        <v>236.73860246162786</v>
      </c>
      <c r="I88">
        <f t="shared" si="11"/>
        <v>-10.835139985689077</v>
      </c>
      <c r="J88">
        <f t="shared" si="12"/>
        <v>236.98642609650483</v>
      </c>
      <c r="K88" s="5">
        <f t="shared" si="13"/>
        <v>29.004721005892755</v>
      </c>
      <c r="N88" s="5">
        <f t="shared" si="14"/>
        <v>129.59999999999999</v>
      </c>
      <c r="O88" s="5">
        <f t="shared" si="15"/>
        <v>108.64236723138629</v>
      </c>
      <c r="P88" s="6">
        <f t="shared" si="16"/>
        <v>-89.876782554565253</v>
      </c>
      <c r="Q88" s="6"/>
      <c r="R88" s="6">
        <f t="shared" si="17"/>
        <v>228.49831274034713</v>
      </c>
      <c r="S88" s="6">
        <f t="shared" si="18"/>
        <v>-4.7634694753919584</v>
      </c>
      <c r="T88" s="6">
        <f t="shared" si="19"/>
        <v>-4.7634694753919584</v>
      </c>
      <c r="U88" s="6">
        <f t="shared" si="20"/>
        <v>174.66238968482119</v>
      </c>
      <c r="V88" s="6">
        <f t="shared" si="21"/>
        <v>174.66238968482119</v>
      </c>
      <c r="W88" s="6">
        <f t="shared" si="22"/>
        <v>-69.839921442152018</v>
      </c>
      <c r="X88" s="6">
        <f t="shared" si="23"/>
        <v>188.10785469367912</v>
      </c>
      <c r="Y88" s="6">
        <f t="shared" si="24"/>
        <v>157.55707754830524</v>
      </c>
    </row>
    <row r="89" ht="14.25">
      <c r="A89">
        <v>71</v>
      </c>
      <c r="B89">
        <f t="shared" si="6"/>
        <v>21.300000000000001</v>
      </c>
      <c r="E89">
        <f t="shared" si="7"/>
        <v>1.1289</v>
      </c>
      <c r="F89">
        <f t="shared" si="8"/>
        <v>1.1289</v>
      </c>
      <c r="G89">
        <f t="shared" si="9"/>
        <v>236.55890336184254</v>
      </c>
      <c r="H89">
        <f t="shared" si="10"/>
        <v>236.55890336184254</v>
      </c>
      <c r="I89">
        <f t="shared" si="11"/>
        <v>-10.851039985689077</v>
      </c>
      <c r="J89">
        <f t="shared" si="12"/>
        <v>236.80764309567496</v>
      </c>
      <c r="K89" s="5">
        <f t="shared" si="13"/>
        <v>29.004721005892755</v>
      </c>
      <c r="N89" s="5">
        <f t="shared" si="14"/>
        <v>127.8</v>
      </c>
      <c r="O89" s="5">
        <f t="shared" si="15"/>
        <v>111.41185674497237</v>
      </c>
      <c r="P89" s="6">
        <f t="shared" si="16"/>
        <v>-86.419894565069654</v>
      </c>
      <c r="Q89" s="6"/>
      <c r="R89" s="6">
        <f t="shared" si="17"/>
        <v>228.6450956845672</v>
      </c>
      <c r="S89" s="6">
        <f t="shared" si="18"/>
        <v>-4.5802544119486912</v>
      </c>
      <c r="T89" s="6">
        <f t="shared" si="19"/>
        <v>-4.5802544119486912</v>
      </c>
      <c r="U89" s="6">
        <f t="shared" si="20"/>
        <v>176.87983816161159</v>
      </c>
      <c r="V89" s="6">
        <f t="shared" si="21"/>
        <v>176.87983816161159</v>
      </c>
      <c r="W89" s="6">
        <f t="shared" si="22"/>
        <v>-71.31562228689657</v>
      </c>
      <c r="X89" s="6">
        <f t="shared" si="23"/>
        <v>190.71548214616769</v>
      </c>
      <c r="Y89" s="6">
        <f t="shared" si="24"/>
        <v>161.57349108182072</v>
      </c>
    </row>
    <row r="90" ht="14.25">
      <c r="A90">
        <v>70</v>
      </c>
      <c r="B90">
        <f t="shared" si="6"/>
        <v>21</v>
      </c>
      <c r="E90">
        <f t="shared" si="7"/>
        <v>1.113</v>
      </c>
      <c r="F90">
        <f t="shared" si="8"/>
        <v>1.113</v>
      </c>
      <c r="G90">
        <f t="shared" si="9"/>
        <v>236.37920426205719</v>
      </c>
      <c r="H90">
        <f t="shared" si="10"/>
        <v>236.37920426205719</v>
      </c>
      <c r="I90">
        <f t="shared" si="11"/>
        <v>-10.866939985689077</v>
      </c>
      <c r="J90">
        <f t="shared" si="12"/>
        <v>236.6288625510758</v>
      </c>
      <c r="K90" s="5">
        <f t="shared" si="13"/>
        <v>29.004721005892755</v>
      </c>
      <c r="N90" s="5">
        <f t="shared" si="14"/>
        <v>126</v>
      </c>
      <c r="O90" s="5">
        <f t="shared" si="15"/>
        <v>114.07139620686759</v>
      </c>
      <c r="P90" s="6">
        <f t="shared" si="16"/>
        <v>-82.87772057323869</v>
      </c>
      <c r="Q90" s="6"/>
      <c r="R90" s="6">
        <f t="shared" si="17"/>
        <v>228.78605127604763</v>
      </c>
      <c r="S90" s="6">
        <f t="shared" si="18"/>
        <v>-4.3925191903816501</v>
      </c>
      <c r="T90" s="6">
        <f t="shared" si="19"/>
        <v>-4.3925191903816501</v>
      </c>
      <c r="U90" s="6">
        <f t="shared" si="20"/>
        <v>179.1425453451422</v>
      </c>
      <c r="V90" s="6">
        <f t="shared" si="21"/>
        <v>179.1425453451422</v>
      </c>
      <c r="W90" s="6">
        <f t="shared" si="22"/>
        <v>-72.720943222483356</v>
      </c>
      <c r="X90" s="6">
        <f t="shared" si="23"/>
        <v>193.34008155554289</v>
      </c>
      <c r="Y90" s="6">
        <f t="shared" si="24"/>
        <v>165.43045108664239</v>
      </c>
    </row>
    <row r="91" ht="14.25">
      <c r="A91">
        <v>69</v>
      </c>
      <c r="B91">
        <f t="shared" si="6"/>
        <v>20.699999999999999</v>
      </c>
      <c r="E91">
        <f t="shared" si="7"/>
        <v>1.0971</v>
      </c>
      <c r="F91">
        <f t="shared" si="8"/>
        <v>1.0971</v>
      </c>
      <c r="G91">
        <f t="shared" si="9"/>
        <v>236.19950516227186</v>
      </c>
      <c r="H91">
        <f t="shared" si="10"/>
        <v>236.19950516227186</v>
      </c>
      <c r="I91">
        <f t="shared" si="11"/>
        <v>-10.882839985689078</v>
      </c>
      <c r="J91">
        <f t="shared" si="12"/>
        <v>236.45008446827885</v>
      </c>
      <c r="K91" s="5">
        <f t="shared" si="13"/>
        <v>29.004721005892755</v>
      </c>
      <c r="N91" s="5">
        <f t="shared" si="14"/>
        <v>124.2</v>
      </c>
      <c r="O91" s="5">
        <f t="shared" si="15"/>
        <v>116.61836097271321</v>
      </c>
      <c r="P91" s="6">
        <f t="shared" si="16"/>
        <v>-79.25375627715043</v>
      </c>
      <c r="Q91" s="6"/>
      <c r="R91" s="6">
        <f t="shared" si="17"/>
        <v>228.92104040863745</v>
      </c>
      <c r="S91" s="6">
        <f t="shared" si="18"/>
        <v>-4.2004490826889729</v>
      </c>
      <c r="T91" s="6">
        <f t="shared" si="19"/>
        <v>-4.2004490826889729</v>
      </c>
      <c r="U91" s="6">
        <f t="shared" si="20"/>
        <v>181.44827821660289</v>
      </c>
      <c r="V91" s="6">
        <f t="shared" si="21"/>
        <v>181.44827821660289</v>
      </c>
      <c r="W91" s="6">
        <f t="shared" si="22"/>
        <v>-74.054497366815454</v>
      </c>
      <c r="X91" s="6">
        <f t="shared" si="23"/>
        <v>195.97843311962006</v>
      </c>
      <c r="Y91" s="6">
        <f t="shared" si="24"/>
        <v>169.12415120890194</v>
      </c>
    </row>
    <row r="92" ht="14.25">
      <c r="A92">
        <v>68</v>
      </c>
      <c r="B92">
        <f t="shared" si="6"/>
        <v>20.399999999999999</v>
      </c>
      <c r="E92">
        <f t="shared" si="7"/>
        <v>1.0811999999999999</v>
      </c>
      <c r="F92">
        <f t="shared" si="8"/>
        <v>1.0811999999999999</v>
      </c>
      <c r="G92">
        <f t="shared" si="9"/>
        <v>236.01980606248651</v>
      </c>
      <c r="H92">
        <f t="shared" si="10"/>
        <v>236.01980606248651</v>
      </c>
      <c r="I92">
        <f t="shared" si="11"/>
        <v>-10.898739985689076</v>
      </c>
      <c r="J92">
        <f t="shared" si="12"/>
        <v>236.27130885287235</v>
      </c>
      <c r="K92" s="5">
        <f t="shared" si="13"/>
        <v>29.004721005892755</v>
      </c>
      <c r="N92" s="5">
        <f t="shared" si="14"/>
        <v>122.40000000000001</v>
      </c>
      <c r="O92" s="5">
        <f t="shared" si="15"/>
        <v>119.05023749578412</v>
      </c>
      <c r="P92" s="6">
        <f t="shared" si="16"/>
        <v>-75.551578092038554</v>
      </c>
      <c r="Q92" s="6"/>
      <c r="R92" s="6">
        <f t="shared" si="17"/>
        <v>229.04992986436022</v>
      </c>
      <c r="S92" s="6">
        <f t="shared" si="18"/>
        <v>-4.0042336388780431</v>
      </c>
      <c r="T92" s="6">
        <f t="shared" si="19"/>
        <v>-4.0042336388780431</v>
      </c>
      <c r="U92" s="6">
        <f t="shared" si="20"/>
        <v>183.79476129602403</v>
      </c>
      <c r="V92" s="6">
        <f t="shared" si="21"/>
        <v>183.79476129602403</v>
      </c>
      <c r="W92" s="6">
        <f t="shared" si="22"/>
        <v>-75.314968662954314</v>
      </c>
      <c r="X92" s="6">
        <f t="shared" si="23"/>
        <v>198.62743713939483</v>
      </c>
      <c r="Y92" s="6">
        <f t="shared" si="24"/>
        <v>172.65094621252456</v>
      </c>
    </row>
    <row r="93" ht="14.25">
      <c r="A93">
        <v>67</v>
      </c>
      <c r="B93">
        <f t="shared" si="6"/>
        <v>20.100000000000001</v>
      </c>
      <c r="E93">
        <f t="shared" si="7"/>
        <v>1.0653000000000001</v>
      </c>
      <c r="F93">
        <f t="shared" si="8"/>
        <v>1.0653000000000001</v>
      </c>
      <c r="G93">
        <f t="shared" si="9"/>
        <v>235.84010696270119</v>
      </c>
      <c r="H93">
        <f t="shared" si="10"/>
        <v>235.84010696270119</v>
      </c>
      <c r="I93">
        <f t="shared" si="11"/>
        <v>-10.914639985689076</v>
      </c>
      <c r="J93">
        <f t="shared" si="12"/>
        <v>236.0925357104615</v>
      </c>
      <c r="K93" s="5">
        <f t="shared" si="13"/>
        <v>29.004721005892755</v>
      </c>
      <c r="N93" s="5">
        <f t="shared" si="14"/>
        <v>120.59999999999999</v>
      </c>
      <c r="O93" s="5">
        <f t="shared" si="15"/>
        <v>121.36462580755608</v>
      </c>
      <c r="P93" s="6">
        <f t="shared" si="16"/>
        <v>-71.774839620802297</v>
      </c>
      <c r="Q93" s="6"/>
      <c r="R93" s="6">
        <f t="shared" si="17"/>
        <v>229.17259244488415</v>
      </c>
      <c r="S93" s="6">
        <f t="shared" si="18"/>
        <v>-3.8040664999025218</v>
      </c>
      <c r="T93" s="6">
        <f t="shared" si="19"/>
        <v>-3.8040664999025218</v>
      </c>
      <c r="U93" s="6">
        <f t="shared" si="20"/>
        <v>186.17967888790065</v>
      </c>
      <c r="V93" s="6">
        <f t="shared" si="21"/>
        <v>186.17967888790065</v>
      </c>
      <c r="W93" s="6">
        <f t="shared" si="22"/>
        <v>-76.50111317790919</v>
      </c>
      <c r="X93" s="6">
        <f t="shared" si="23"/>
        <v>201.28411052107683</v>
      </c>
      <c r="Y93" s="6">
        <f t="shared" si="24"/>
        <v>176.0073555766368</v>
      </c>
    </row>
    <row r="94" ht="14.25">
      <c r="A94">
        <v>66</v>
      </c>
      <c r="B94">
        <f t="shared" si="6"/>
        <v>19.800000000000001</v>
      </c>
      <c r="E94">
        <f t="shared" si="7"/>
        <v>1.0494000000000001</v>
      </c>
      <c r="F94">
        <f t="shared" si="8"/>
        <v>1.0494000000000001</v>
      </c>
      <c r="G94">
        <f t="shared" si="9"/>
        <v>235.66040786291586</v>
      </c>
      <c r="H94">
        <f t="shared" si="10"/>
        <v>235.66040786291586</v>
      </c>
      <c r="I94">
        <f t="shared" si="11"/>
        <v>-10.930539985689077</v>
      </c>
      <c r="J94">
        <f t="shared" si="12"/>
        <v>235.91376504666829</v>
      </c>
      <c r="K94" s="5">
        <f t="shared" si="13"/>
        <v>29.004721005892755</v>
      </c>
      <c r="N94" s="5">
        <f t="shared" si="14"/>
        <v>118.8</v>
      </c>
      <c r="O94" s="5">
        <f t="shared" si="15"/>
        <v>123.55924188618475</v>
      </c>
      <c r="P94" s="6">
        <f t="shared" si="16"/>
        <v>-67.927268048341872</v>
      </c>
      <c r="Q94" s="6"/>
      <c r="R94" s="6">
        <f t="shared" si="17"/>
        <v>229.28890709705146</v>
      </c>
      <c r="S94" s="6">
        <f t="shared" si="18"/>
        <v>-3.6001452065621193</v>
      </c>
      <c r="T94" s="6">
        <f t="shared" si="19"/>
        <v>-3.6001452065621193</v>
      </c>
      <c r="U94" s="6">
        <f t="shared" si="20"/>
        <v>188.60067736650393</v>
      </c>
      <c r="V94" s="6">
        <f t="shared" si="21"/>
        <v>188.60067736650393</v>
      </c>
      <c r="W94" s="6">
        <f t="shared" si="22"/>
        <v>-77.611760330248785</v>
      </c>
      <c r="X94" s="6">
        <f t="shared" si="23"/>
        <v>203.94558304769458</v>
      </c>
      <c r="Y94" s="6">
        <f t="shared" si="24"/>
        <v>179.19006693042033</v>
      </c>
    </row>
    <row r="95" ht="14.25">
      <c r="A95">
        <v>65</v>
      </c>
      <c r="B95">
        <f t="shared" si="6"/>
        <v>19.5</v>
      </c>
      <c r="E95">
        <f t="shared" si="7"/>
        <v>1.0334999999999999</v>
      </c>
      <c r="F95">
        <f t="shared" si="8"/>
        <v>1.0334999999999999</v>
      </c>
      <c r="G95">
        <f t="shared" si="9"/>
        <v>235.48070876313051</v>
      </c>
      <c r="H95">
        <f t="shared" si="10"/>
        <v>235.48070876313051</v>
      </c>
      <c r="I95">
        <f t="shared" si="11"/>
        <v>-10.946439985689077</v>
      </c>
      <c r="J95">
        <f t="shared" si="12"/>
        <v>235.73499686713168</v>
      </c>
      <c r="K95" s="5">
        <f t="shared" si="13"/>
        <v>29.004721005892755</v>
      </c>
      <c r="N95" s="5">
        <f t="shared" si="14"/>
        <v>117</v>
      </c>
      <c r="O95" s="5">
        <f t="shared" si="15"/>
        <v>125.63191991055987</v>
      </c>
      <c r="P95" s="6">
        <f t="shared" si="16"/>
        <v>-64.012660463276092</v>
      </c>
      <c r="Q95" s="6"/>
      <c r="R95" s="6">
        <f t="shared" si="17"/>
        <v>229.39875903234332</v>
      </c>
      <c r="S95" s="6">
        <f t="shared" si="18"/>
        <v>-3.3926710045536326</v>
      </c>
      <c r="T95" s="6">
        <f t="shared" si="19"/>
        <v>-3.3926710045536326</v>
      </c>
      <c r="U95" s="6">
        <f t="shared" si="20"/>
        <v>191.05536749862634</v>
      </c>
      <c r="V95" s="6">
        <f t="shared" si="21"/>
        <v>191.05536749862634</v>
      </c>
      <c r="W95" s="6">
        <f t="shared" si="22"/>
        <v>-78.645814045323831</v>
      </c>
      <c r="X95" s="6">
        <f t="shared" si="23"/>
        <v>206.60909349998809</v>
      </c>
      <c r="Y95" s="6">
        <f t="shared" si="24"/>
        <v>182.19593932202264</v>
      </c>
    </row>
    <row r="96" ht="14.25">
      <c r="A96">
        <v>64</v>
      </c>
      <c r="B96">
        <f t="shared" si="6"/>
        <v>19.199999999999999</v>
      </c>
      <c r="E96">
        <f t="shared" si="7"/>
        <v>1.0175999999999998</v>
      </c>
      <c r="F96">
        <f t="shared" si="8"/>
        <v>1.0175999999999998</v>
      </c>
      <c r="G96">
        <f t="shared" si="9"/>
        <v>235.30100966334518</v>
      </c>
      <c r="H96">
        <f t="shared" si="10"/>
        <v>235.30100966334518</v>
      </c>
      <c r="I96">
        <f t="shared" si="11"/>
        <v>-10.962339985689077</v>
      </c>
      <c r="J96">
        <f t="shared" si="12"/>
        <v>235.55623117750781</v>
      </c>
      <c r="K96" s="5">
        <f t="shared" si="13"/>
        <v>29.004721005892755</v>
      </c>
      <c r="N96" s="5">
        <f t="shared" si="14"/>
        <v>115.2</v>
      </c>
      <c r="O96" s="5">
        <f t="shared" si="15"/>
        <v>127.58061439770874</v>
      </c>
      <c r="P96" s="6">
        <f t="shared" si="16"/>
        <v>-60.034880110675253</v>
      </c>
      <c r="Q96" s="6"/>
      <c r="R96" s="6">
        <f t="shared" si="17"/>
        <v>229.50203984016221</v>
      </c>
      <c r="S96" s="6">
        <f t="shared" si="18"/>
        <v>-3.1818486458657884</v>
      </c>
      <c r="T96" s="6">
        <f t="shared" si="19"/>
        <v>-3.1818486458657884</v>
      </c>
      <c r="U96" s="6">
        <f t="shared" si="20"/>
        <v>193.5413268014658</v>
      </c>
      <c r="V96" s="6">
        <f t="shared" si="21"/>
        <v>193.5413268014658</v>
      </c>
      <c r="W96" s="6">
        <f t="shared" si="22"/>
        <v>-79.602253836960315</v>
      </c>
      <c r="X96" s="6">
        <f t="shared" si="23"/>
        <v>209.27198569324955</v>
      </c>
      <c r="Y96" s="6">
        <f t="shared" si="24"/>
        <v>185.02200631829635</v>
      </c>
    </row>
    <row r="97" ht="14.25">
      <c r="A97">
        <v>63</v>
      </c>
      <c r="B97">
        <f t="shared" si="6"/>
        <v>18.899999999999999</v>
      </c>
      <c r="E97">
        <f t="shared" si="7"/>
        <v>1.0016999999999998</v>
      </c>
      <c r="F97">
        <f t="shared" si="8"/>
        <v>1.0016999999999998</v>
      </c>
      <c r="G97">
        <f t="shared" si="9"/>
        <v>235.12131056355983</v>
      </c>
      <c r="H97">
        <f t="shared" si="10"/>
        <v>235.12131056355983</v>
      </c>
      <c r="I97">
        <f t="shared" si="11"/>
        <v>-10.978239985689077</v>
      </c>
      <c r="J97">
        <f t="shared" si="12"/>
        <v>235.37746798346976</v>
      </c>
      <c r="K97" s="5">
        <f t="shared" si="13"/>
        <v>29.004721005892755</v>
      </c>
      <c r="N97" s="5">
        <f t="shared" si="14"/>
        <v>113.40000000000001</v>
      </c>
      <c r="O97" s="5">
        <f t="shared" si="15"/>
        <v>129.40340222144135</v>
      </c>
      <c r="P97" s="6">
        <f t="shared" si="16"/>
        <v>-55.997852579504041</v>
      </c>
      <c r="Q97" s="6"/>
      <c r="R97" s="6">
        <f t="shared" si="17"/>
        <v>229.59864759482005</v>
      </c>
      <c r="S97" s="6">
        <f t="shared" si="18"/>
        <v>-2.9678861867137143</v>
      </c>
      <c r="T97" s="6">
        <f t="shared" si="19"/>
        <v>-2.9678861867137143</v>
      </c>
      <c r="U97" s="6">
        <f t="shared" si="20"/>
        <v>196.05610193332393</v>
      </c>
      <c r="V97" s="6">
        <f t="shared" si="21"/>
        <v>196.05610193332393</v>
      </c>
      <c r="W97" s="6">
        <f t="shared" si="22"/>
        <v>-80.480135814556306</v>
      </c>
      <c r="X97" s="6">
        <f t="shared" si="23"/>
        <v>211.93170448524054</v>
      </c>
      <c r="Y97" s="6">
        <f t="shared" si="24"/>
        <v>187.66547893231149</v>
      </c>
    </row>
    <row r="98" ht="14.25">
      <c r="A98">
        <v>62</v>
      </c>
      <c r="B98">
        <f t="shared" si="6"/>
        <v>18.600000000000001</v>
      </c>
      <c r="E98">
        <f t="shared" si="7"/>
        <v>0.98580000000000001</v>
      </c>
      <c r="F98">
        <f t="shared" si="8"/>
        <v>0.98580000000000001</v>
      </c>
      <c r="G98">
        <f t="shared" si="9"/>
        <v>234.94161146377451</v>
      </c>
      <c r="H98">
        <f t="shared" si="10"/>
        <v>234.94161146377451</v>
      </c>
      <c r="I98">
        <f t="shared" si="11"/>
        <v>-10.994139985689078</v>
      </c>
      <c r="J98">
        <f t="shared" si="12"/>
        <v>235.19870729070794</v>
      </c>
      <c r="K98" s="5">
        <f t="shared" si="13"/>
        <v>29.004721005892755</v>
      </c>
      <c r="N98" s="5">
        <f t="shared" si="14"/>
        <v>111.59999999999999</v>
      </c>
      <c r="O98" s="5">
        <f t="shared" si="15"/>
        <v>131.09848451024345</v>
      </c>
      <c r="P98" s="6">
        <f t="shared" si="16"/>
        <v>-51.905561928539598</v>
      </c>
      <c r="Q98" s="6"/>
      <c r="R98" s="6">
        <f t="shared" si="17"/>
        <v>229.68848695612655</v>
      </c>
      <c r="S98" s="6">
        <f t="shared" si="18"/>
        <v>-2.7509947822125986</v>
      </c>
      <c r="T98" s="6">
        <f t="shared" si="19"/>
        <v>-2.7509947822125986</v>
      </c>
      <c r="U98" s="6">
        <f t="shared" si="20"/>
        <v>198.59721111475795</v>
      </c>
      <c r="V98" s="6">
        <f t="shared" si="21"/>
        <v>198.59721111475795</v>
      </c>
      <c r="W98" s="6">
        <f t="shared" si="22"/>
        <v>-81.278593614587876</v>
      </c>
      <c r="X98" s="6">
        <f t="shared" si="23"/>
        <v>214.58579180021465</v>
      </c>
      <c r="Y98" s="6">
        <f t="shared" si="24"/>
        <v>190.12374837574822</v>
      </c>
    </row>
    <row r="99" ht="14.25">
      <c r="A99">
        <v>61</v>
      </c>
      <c r="B99">
        <f t="shared" si="6"/>
        <v>18.300000000000001</v>
      </c>
      <c r="E99">
        <f t="shared" si="7"/>
        <v>0.96989999999999998</v>
      </c>
      <c r="F99">
        <f t="shared" si="8"/>
        <v>0.96989999999999998</v>
      </c>
      <c r="G99">
        <f t="shared" si="9"/>
        <v>234.76191236398915</v>
      </c>
      <c r="H99">
        <f t="shared" si="10"/>
        <v>234.76191236398915</v>
      </c>
      <c r="I99">
        <f t="shared" si="11"/>
        <v>-11.010039985689076</v>
      </c>
      <c r="J99">
        <f t="shared" si="12"/>
        <v>235.01994910492979</v>
      </c>
      <c r="K99" s="5">
        <f t="shared" si="13"/>
        <v>29.004721005892755</v>
      </c>
      <c r="N99" s="5">
        <f t="shared" si="14"/>
        <v>109.8</v>
      </c>
      <c r="O99" s="5">
        <f t="shared" si="15"/>
        <v>132.66418842254578</v>
      </c>
      <c r="P99" s="6">
        <f t="shared" si="16"/>
        <v>-47.762046754586081</v>
      </c>
      <c r="Q99" s="6"/>
      <c r="R99" s="6">
        <f t="shared" si="17"/>
        <v>229.77146926347859</v>
      </c>
      <c r="S99" s="6">
        <f t="shared" si="18"/>
        <v>-2.5313884779930622</v>
      </c>
      <c r="T99" s="6">
        <f t="shared" si="19"/>
        <v>-2.5313884779930622</v>
      </c>
      <c r="U99" s="6">
        <f t="shared" si="20"/>
        <v>201.16214657779776</v>
      </c>
      <c r="V99" s="6">
        <f t="shared" si="21"/>
        <v>201.16214657779776</v>
      </c>
      <c r="W99" s="6">
        <f t="shared" si="22"/>
        <v>-81.996839255605366</v>
      </c>
      <c r="X99" s="6">
        <f t="shared" si="23"/>
        <v>217.23188270531784</v>
      </c>
      <c r="Y99" s="6">
        <f t="shared" si="24"/>
        <v>192.39438863345643</v>
      </c>
    </row>
    <row r="100" ht="14.25">
      <c r="A100">
        <v>60</v>
      </c>
      <c r="B100">
        <f t="shared" ref="B100:B163" si="25">$B$27*A100/100</f>
        <v>18</v>
      </c>
      <c r="E100">
        <f t="shared" ref="E100:E163" si="26">B100*$B$7</f>
        <v>0.95399999999999996</v>
      </c>
      <c r="F100">
        <f t="shared" ref="F100:F163" si="27">E100</f>
        <v>0.95399999999999996</v>
      </c>
      <c r="G100">
        <f t="shared" ref="G100:G163" si="28">$D$60+B100*$B$8*$B$14</f>
        <v>234.58221326420383</v>
      </c>
      <c r="H100">
        <f t="shared" ref="H100:H163" si="29">G100</f>
        <v>234.58221326420383</v>
      </c>
      <c r="I100">
        <f t="shared" ref="I100:I163" si="30">E100-$B$26*$B$14*$B$9</f>
        <v>-11.025939985689076</v>
      </c>
      <c r="J100">
        <f t="shared" ref="J100:J163" si="31">SQRT(I100*I100+H100*H100)</f>
        <v>234.84119343186029</v>
      </c>
      <c r="K100" s="5">
        <f t="shared" ref="K100:K163" si="32">1.5*$B$13*($B$26*$B$6+$B$26*B100*($B$8-$B$9))</f>
        <v>29.004721005892755</v>
      </c>
      <c r="N100" s="5">
        <f t="shared" ref="N100:N163" si="33">180*A100/100</f>
        <v>108</v>
      </c>
      <c r="O100" s="5">
        <f t="shared" ref="O100:O163" si="34">$B$31*SIN(N100/180*PI())</f>
        <v>134.09896879761666</v>
      </c>
      <c r="P100" s="6">
        <f t="shared" ref="P100:P163" si="35">$B$31*COS(N100/180*PI())</f>
        <v>-43.571396206867576</v>
      </c>
      <c r="Q100" s="6"/>
      <c r="R100" s="6">
        <f t="shared" ref="R100:R163" si="36">$Q$60+O100*$B$7</f>
        <v>229.84751262335735</v>
      </c>
      <c r="S100" s="6">
        <f t="shared" ref="S100:S163" si="37">P100*$B$7</f>
        <v>-2.3092839989639815</v>
      </c>
      <c r="T100" s="6">
        <f t="shared" ref="T100:T163" si="38">S100</f>
        <v>-2.3092839989639815</v>
      </c>
      <c r="U100" s="6">
        <f t="shared" ref="U100:U163" si="39">R100+P100*$B$8*$B$14</f>
        <v>203.74837704080963</v>
      </c>
      <c r="V100" s="6">
        <f t="shared" ref="V100:V163" si="40">U100</f>
        <v>203.74837704080963</v>
      </c>
      <c r="W100" s="6">
        <f t="shared" ref="W100:W163" si="41">S100-O100*$B$14*$B$9</f>
        <v>-82.634163915875959</v>
      </c>
      <c r="X100" s="6">
        <f t="shared" ref="X100:X163" si="42">SQRT(W100*W100+V100*V100)</f>
        <v>219.86770156810158</v>
      </c>
      <c r="Y100" s="6">
        <f t="shared" ref="Y100:Y163" si="43">1.5*$B$13*(O100*$B$6+O100*P100*($B$8-$B$9))</f>
        <v>194.47515885763946</v>
      </c>
    </row>
    <row r="101" ht="14.25">
      <c r="A101">
        <v>59</v>
      </c>
      <c r="B101">
        <f t="shared" si="25"/>
        <v>17.699999999999999</v>
      </c>
      <c r="E101">
        <f t="shared" si="26"/>
        <v>0.93809999999999993</v>
      </c>
      <c r="F101">
        <f t="shared" si="27"/>
        <v>0.93809999999999993</v>
      </c>
      <c r="G101">
        <f t="shared" si="28"/>
        <v>234.40251416441851</v>
      </c>
      <c r="H101">
        <f t="shared" si="29"/>
        <v>234.40251416441851</v>
      </c>
      <c r="I101">
        <f t="shared" si="30"/>
        <v>-11.041839985689077</v>
      </c>
      <c r="J101">
        <f t="shared" si="31"/>
        <v>234.66244027724161</v>
      </c>
      <c r="K101" s="5">
        <f t="shared" si="32"/>
        <v>29.004721005892755</v>
      </c>
      <c r="N101" s="5">
        <f t="shared" si="33"/>
        <v>106.2</v>
      </c>
      <c r="O101" s="5">
        <f t="shared" si="34"/>
        <v>135.40140968044898</v>
      </c>
      <c r="P101" s="6">
        <f t="shared" si="35"/>
        <v>-39.337745951531311</v>
      </c>
      <c r="Q101" s="6"/>
      <c r="R101" s="6">
        <f t="shared" si="36"/>
        <v>229.91654199014746</v>
      </c>
      <c r="S101" s="6">
        <f t="shared" si="37"/>
        <v>-2.0849005354311596</v>
      </c>
      <c r="T101" s="6">
        <f t="shared" si="38"/>
        <v>-2.0849005354311596</v>
      </c>
      <c r="U101" s="6">
        <f t="shared" si="39"/>
        <v>206.35335020656603</v>
      </c>
      <c r="V101" s="6">
        <f t="shared" si="40"/>
        <v>206.35335020656603</v>
      </c>
      <c r="W101" s="6">
        <f t="shared" si="41"/>
        <v>-83.189938632905097</v>
      </c>
      <c r="X101" s="6">
        <f t="shared" si="42"/>
        <v>222.49105831745285</v>
      </c>
      <c r="Y101" s="6">
        <f t="shared" si="43"/>
        <v>196.36400557930048</v>
      </c>
    </row>
    <row r="102" ht="14.25">
      <c r="A102">
        <v>58</v>
      </c>
      <c r="B102">
        <f t="shared" si="25"/>
        <v>17.399999999999999</v>
      </c>
      <c r="E102">
        <f t="shared" si="26"/>
        <v>0.92219999999999991</v>
      </c>
      <c r="F102">
        <f t="shared" si="27"/>
        <v>0.92219999999999991</v>
      </c>
      <c r="G102">
        <f t="shared" si="28"/>
        <v>234.22281506463315</v>
      </c>
      <c r="H102">
        <f t="shared" si="29"/>
        <v>234.22281506463315</v>
      </c>
      <c r="I102">
        <f t="shared" si="30"/>
        <v>-11.057739985689077</v>
      </c>
      <c r="J102">
        <f t="shared" si="31"/>
        <v>234.48368964683331</v>
      </c>
      <c r="K102" s="5">
        <f t="shared" si="32"/>
        <v>29.004721005892755</v>
      </c>
      <c r="N102" s="5">
        <f t="shared" si="33"/>
        <v>104.40000000000001</v>
      </c>
      <c r="O102" s="5">
        <f t="shared" si="34"/>
        <v>136.57022571913697</v>
      </c>
      <c r="P102" s="6">
        <f t="shared" si="35"/>
        <v>-35.065274090244536</v>
      </c>
      <c r="Q102" s="6"/>
      <c r="R102" s="6">
        <f t="shared" si="36"/>
        <v>229.97848924019792</v>
      </c>
      <c r="S102" s="6">
        <f t="shared" si="37"/>
        <v>-1.8584595267829604</v>
      </c>
      <c r="T102" s="6">
        <f t="shared" si="38"/>
        <v>-1.8584595267829604</v>
      </c>
      <c r="U102" s="6">
        <f t="shared" si="39"/>
        <v>208.97449528105454</v>
      </c>
      <c r="V102" s="6">
        <f t="shared" si="40"/>
        <v>208.97449528105454</v>
      </c>
      <c r="W102" s="6">
        <f t="shared" si="41"/>
        <v>-83.663614924146543</v>
      </c>
      <c r="X102" s="6">
        <f t="shared" si="42"/>
        <v>225.09984482479629</v>
      </c>
      <c r="Y102" s="6">
        <f t="shared" si="43"/>
        <v>198.05906473476838</v>
      </c>
    </row>
    <row r="103" ht="14.25">
      <c r="A103">
        <v>57</v>
      </c>
      <c r="B103">
        <f t="shared" si="25"/>
        <v>17.100000000000001</v>
      </c>
      <c r="E103">
        <f t="shared" si="26"/>
        <v>0.90629999999999999</v>
      </c>
      <c r="F103">
        <f t="shared" si="27"/>
        <v>0.90629999999999999</v>
      </c>
      <c r="G103">
        <f t="shared" si="28"/>
        <v>234.04311596484783</v>
      </c>
      <c r="H103">
        <f t="shared" si="29"/>
        <v>234.04311596484783</v>
      </c>
      <c r="I103">
        <f t="shared" si="30"/>
        <v>-11.073639985689077</v>
      </c>
      <c r="J103">
        <f t="shared" si="31"/>
        <v>234.30494154641266</v>
      </c>
      <c r="K103" s="5">
        <f t="shared" si="32"/>
        <v>29.004721005892755</v>
      </c>
      <c r="N103" s="5">
        <f t="shared" si="33"/>
        <v>102.59999999999999</v>
      </c>
      <c r="O103" s="5">
        <f t="shared" si="34"/>
        <v>137.6042634333634</v>
      </c>
      <c r="P103" s="6">
        <f t="shared" si="35"/>
        <v>-30.75819703691247</v>
      </c>
      <c r="Q103" s="6"/>
      <c r="R103" s="6">
        <f t="shared" si="36"/>
        <v>230.03329323905191</v>
      </c>
      <c r="S103" s="6">
        <f t="shared" si="37"/>
        <v>-1.6301844429563608</v>
      </c>
      <c r="T103" s="6">
        <f t="shared" si="38"/>
        <v>-1.6301844429563608</v>
      </c>
      <c r="U103" s="6">
        <f t="shared" si="39"/>
        <v>211.60922551054136</v>
      </c>
      <c r="V103" s="6">
        <f t="shared" si="40"/>
        <v>211.60922551054136</v>
      </c>
      <c r="W103" s="6">
        <f t="shared" si="41"/>
        <v>-84.054725328288541</v>
      </c>
      <c r="X103" s="6">
        <f t="shared" si="42"/>
        <v>227.69203141784558</v>
      </c>
      <c r="Y103" s="6">
        <f t="shared" si="43"/>
        <v>199.5586635053038</v>
      </c>
    </row>
    <row r="104" ht="14.25">
      <c r="A104">
        <v>56</v>
      </c>
      <c r="B104">
        <f t="shared" si="25"/>
        <v>16.800000000000001</v>
      </c>
      <c r="E104">
        <f t="shared" si="26"/>
        <v>0.89039999999999997</v>
      </c>
      <c r="F104">
        <f t="shared" si="27"/>
        <v>0.89039999999999997</v>
      </c>
      <c r="G104">
        <f t="shared" si="28"/>
        <v>233.86341686506248</v>
      </c>
      <c r="H104">
        <f t="shared" si="29"/>
        <v>233.86341686506248</v>
      </c>
      <c r="I104">
        <f t="shared" si="30"/>
        <v>-11.089539985689077</v>
      </c>
      <c r="J104">
        <f t="shared" si="31"/>
        <v>234.12619598177429</v>
      </c>
      <c r="K104" s="5">
        <f t="shared" si="32"/>
        <v>29.004721005892755</v>
      </c>
      <c r="N104" s="5">
        <f t="shared" si="33"/>
        <v>100.8</v>
      </c>
      <c r="O104" s="5">
        <f t="shared" si="34"/>
        <v>138.5025023527451</v>
      </c>
      <c r="P104" s="6">
        <f t="shared" si="35"/>
        <v>-26.420765356587136</v>
      </c>
      <c r="Q104" s="6"/>
      <c r="R104" s="6">
        <f t="shared" si="36"/>
        <v>230.08089990177916</v>
      </c>
      <c r="S104" s="6">
        <f t="shared" si="37"/>
        <v>-1.4003005638991182</v>
      </c>
      <c r="T104" s="6">
        <f t="shared" si="38"/>
        <v>-1.4003005638991182</v>
      </c>
      <c r="U104" s="6">
        <f t="shared" si="39"/>
        <v>214.2549407343848</v>
      </c>
      <c r="V104" s="6">
        <f t="shared" si="40"/>
        <v>214.2549407343848</v>
      </c>
      <c r="W104" s="6">
        <f t="shared" si="41"/>
        <v>-84.362883866581441</v>
      </c>
      <c r="X104" s="6">
        <f t="shared" si="42"/>
        <v>230.2656635353631</v>
      </c>
      <c r="Y104" s="6">
        <f t="shared" si="43"/>
        <v>200.86132196796882</v>
      </c>
    </row>
    <row r="105" ht="14.25">
      <c r="A105">
        <v>55</v>
      </c>
      <c r="B105">
        <f t="shared" si="25"/>
        <v>16.5</v>
      </c>
      <c r="E105">
        <f t="shared" si="26"/>
        <v>0.87449999999999994</v>
      </c>
      <c r="F105">
        <f t="shared" si="27"/>
        <v>0.87449999999999994</v>
      </c>
      <c r="G105">
        <f t="shared" si="28"/>
        <v>233.68371776527715</v>
      </c>
      <c r="H105">
        <f t="shared" si="29"/>
        <v>233.68371776527715</v>
      </c>
      <c r="I105">
        <f t="shared" si="30"/>
        <v>-11.105439985689078</v>
      </c>
      <c r="J105">
        <f t="shared" si="31"/>
        <v>233.94745295873057</v>
      </c>
      <c r="K105" s="5">
        <f t="shared" si="32"/>
        <v>29.004721005892755</v>
      </c>
      <c r="N105" s="5">
        <f t="shared" si="33"/>
        <v>99</v>
      </c>
      <c r="O105" s="5">
        <f t="shared" si="34"/>
        <v>139.26405602391441</v>
      </c>
      <c r="P105" s="6">
        <f t="shared" si="35"/>
        <v>-22.057259570672574</v>
      </c>
      <c r="Q105" s="6"/>
      <c r="R105" s="6">
        <f t="shared" si="36"/>
        <v>230.12126224635114</v>
      </c>
      <c r="S105" s="6">
        <f t="shared" si="37"/>
        <v>-1.1690347572456463</v>
      </c>
      <c r="T105" s="6">
        <f t="shared" si="38"/>
        <v>-1.1690347572456463</v>
      </c>
      <c r="U105" s="6">
        <f t="shared" si="39"/>
        <v>216.90902995107996</v>
      </c>
      <c r="V105" s="6">
        <f t="shared" si="40"/>
        <v>216.90902995107996</v>
      </c>
      <c r="W105" s="6">
        <f t="shared" si="41"/>
        <v>-84.587786423752434</v>
      </c>
      <c r="X105" s="6">
        <f t="shared" si="42"/>
        <v>232.81885852823191</v>
      </c>
      <c r="Y105" s="6">
        <f t="shared" si="43"/>
        <v>201.96575455613279</v>
      </c>
    </row>
    <row r="106" ht="14.25">
      <c r="A106">
        <v>54</v>
      </c>
      <c r="B106">
        <f t="shared" si="25"/>
        <v>16.199999999999999</v>
      </c>
      <c r="E106">
        <f t="shared" si="26"/>
        <v>0.85859999999999992</v>
      </c>
      <c r="F106">
        <f t="shared" si="27"/>
        <v>0.85859999999999992</v>
      </c>
      <c r="G106">
        <f t="shared" si="28"/>
        <v>233.5040186654918</v>
      </c>
      <c r="H106">
        <f t="shared" si="29"/>
        <v>233.5040186654918</v>
      </c>
      <c r="I106">
        <f t="shared" si="30"/>
        <v>-11.121339985689078</v>
      </c>
      <c r="J106">
        <f t="shared" si="31"/>
        <v>233.76871248311144</v>
      </c>
      <c r="K106" s="5">
        <f t="shared" si="32"/>
        <v>29.004721005892755</v>
      </c>
      <c r="N106" s="5">
        <f t="shared" si="33"/>
        <v>97.200000000000003</v>
      </c>
      <c r="O106" s="5">
        <f t="shared" si="34"/>
        <v>139.88817288534136</v>
      </c>
      <c r="P106" s="6">
        <f t="shared" si="35"/>
        <v>-17.671985932566916</v>
      </c>
      <c r="Q106" s="6"/>
      <c r="R106" s="6">
        <f t="shared" si="36"/>
        <v>230.15434044000676</v>
      </c>
      <c r="S106" s="6">
        <f t="shared" si="37"/>
        <v>-0.93661525442604654</v>
      </c>
      <c r="T106" s="6">
        <f t="shared" si="38"/>
        <v>-0.93661525442604654</v>
      </c>
      <c r="U106" s="6">
        <f t="shared" si="39"/>
        <v>219.5688738950021</v>
      </c>
      <c r="V106" s="6">
        <f t="shared" si="40"/>
        <v>219.5688738950021</v>
      </c>
      <c r="W106" s="6">
        <f t="shared" si="41"/>
        <v>-84.729211048130423</v>
      </c>
      <c r="X106" s="6">
        <f t="shared" si="42"/>
        <v>235.34980260955811</v>
      </c>
      <c r="Y106" s="6">
        <f t="shared" si="43"/>
        <v>202.87087132817092</v>
      </c>
    </row>
    <row r="107" ht="14.25">
      <c r="A107">
        <v>53</v>
      </c>
      <c r="B107">
        <f t="shared" si="25"/>
        <v>15.9</v>
      </c>
      <c r="E107">
        <f t="shared" si="26"/>
        <v>0.8427</v>
      </c>
      <c r="F107">
        <f t="shared" si="27"/>
        <v>0.8427</v>
      </c>
      <c r="G107">
        <f t="shared" si="28"/>
        <v>233.32431956570647</v>
      </c>
      <c r="H107">
        <f t="shared" si="29"/>
        <v>233.32431956570647</v>
      </c>
      <c r="I107">
        <f t="shared" si="30"/>
        <v>-11.137239985689076</v>
      </c>
      <c r="J107">
        <f t="shared" si="31"/>
        <v>233.5899745607648</v>
      </c>
      <c r="K107" s="5">
        <f t="shared" si="32"/>
        <v>29.004721005892755</v>
      </c>
      <c r="N107" s="5">
        <f t="shared" si="33"/>
        <v>95.400000000000006</v>
      </c>
      <c r="O107" s="5">
        <f t="shared" si="34"/>
        <v>140.37423700903429</v>
      </c>
      <c r="P107" s="6">
        <f t="shared" si="35"/>
        <v>-13.269272177910528</v>
      </c>
      <c r="Q107" s="6"/>
      <c r="R107" s="6">
        <f t="shared" si="36"/>
        <v>230.18010183856248</v>
      </c>
      <c r="S107" s="6">
        <f t="shared" si="37"/>
        <v>-0.70327142542925791</v>
      </c>
      <c r="T107" s="6">
        <f t="shared" si="38"/>
        <v>-0.70327142542925791</v>
      </c>
      <c r="U107" s="6">
        <f t="shared" si="39"/>
        <v>222.23184762130538</v>
      </c>
      <c r="V107" s="6">
        <f t="shared" si="40"/>
        <v>222.23184762130538</v>
      </c>
      <c r="W107" s="6">
        <f t="shared" si="41"/>
        <v>-84.787018170685528</v>
      </c>
      <c r="X107" s="6">
        <f t="shared" si="42"/>
        <v>237.85674795442583</v>
      </c>
      <c r="Y107" s="6">
        <f t="shared" si="43"/>
        <v>203.57577904310529</v>
      </c>
    </row>
    <row r="108" ht="14.25">
      <c r="A108">
        <v>52</v>
      </c>
      <c r="B108">
        <f t="shared" si="25"/>
        <v>15.6</v>
      </c>
      <c r="E108">
        <f t="shared" si="26"/>
        <v>0.82679999999999998</v>
      </c>
      <c r="F108">
        <f t="shared" si="27"/>
        <v>0.82679999999999998</v>
      </c>
      <c r="G108">
        <f t="shared" si="28"/>
        <v>233.14462046592115</v>
      </c>
      <c r="H108">
        <f t="shared" si="29"/>
        <v>233.14462046592115</v>
      </c>
      <c r="I108">
        <f t="shared" si="30"/>
        <v>-11.153139985689076</v>
      </c>
      <c r="J108">
        <f t="shared" si="31"/>
        <v>233.4112391975562</v>
      </c>
      <c r="K108" s="5">
        <f t="shared" si="32"/>
        <v>29.004721005892755</v>
      </c>
      <c r="N108" s="5">
        <f t="shared" si="33"/>
        <v>93.599999999999994</v>
      </c>
      <c r="O108" s="5">
        <f t="shared" si="34"/>
        <v>140.72176870838629</v>
      </c>
      <c r="P108" s="6">
        <f t="shared" si="35"/>
        <v>-8.8534632536331888</v>
      </c>
      <c r="Q108" s="6"/>
      <c r="R108" s="6">
        <f t="shared" si="36"/>
        <v>230.19852101862813</v>
      </c>
      <c r="S108" s="6">
        <f t="shared" si="37"/>
        <v>-0.46923355244255899</v>
      </c>
      <c r="T108" s="6">
        <f t="shared" si="38"/>
        <v>-0.46923355244255899</v>
      </c>
      <c r="U108" s="6">
        <f t="shared" si="39"/>
        <v>224.89532309642667</v>
      </c>
      <c r="V108" s="6">
        <f t="shared" si="40"/>
        <v>224.89532309642667</v>
      </c>
      <c r="W108" s="6">
        <f t="shared" si="41"/>
        <v>-84.761150742766901</v>
      </c>
      <c r="X108" s="6">
        <f t="shared" si="42"/>
        <v>240.33800994824807</v>
      </c>
      <c r="Y108" s="6">
        <f t="shared" si="43"/>
        <v>204.07978204212571</v>
      </c>
    </row>
    <row r="109" ht="14.25">
      <c r="A109">
        <v>51</v>
      </c>
      <c r="B109">
        <f t="shared" si="25"/>
        <v>15.300000000000001</v>
      </c>
      <c r="E109">
        <f t="shared" si="26"/>
        <v>0.81090000000000007</v>
      </c>
      <c r="F109">
        <f t="shared" si="27"/>
        <v>0.81090000000000007</v>
      </c>
      <c r="G109">
        <f t="shared" si="28"/>
        <v>232.9649213661358</v>
      </c>
      <c r="H109">
        <f t="shared" si="29"/>
        <v>232.9649213661358</v>
      </c>
      <c r="I109">
        <f t="shared" si="30"/>
        <v>-11.169039985689077</v>
      </c>
      <c r="J109">
        <f t="shared" si="31"/>
        <v>233.23250639936913</v>
      </c>
      <c r="K109" s="5">
        <f t="shared" si="32"/>
        <v>29.004721005892755</v>
      </c>
      <c r="N109" s="5">
        <f t="shared" si="33"/>
        <v>91.799999999999997</v>
      </c>
      <c r="O109" s="5">
        <f t="shared" si="34"/>
        <v>140.93042501156816</v>
      </c>
      <c r="P109" s="6">
        <f t="shared" si="35"/>
        <v>-4.4289170300160876</v>
      </c>
      <c r="Q109" s="6"/>
      <c r="R109" s="6">
        <f t="shared" si="36"/>
        <v>230.20957980269677</v>
      </c>
      <c r="S109" s="6">
        <f t="shared" si="37"/>
        <v>-0.23473260259085263</v>
      </c>
      <c r="T109" s="6">
        <f t="shared" si="38"/>
        <v>-0.23473260259085263</v>
      </c>
      <c r="U109" s="6">
        <f t="shared" si="39"/>
        <v>227.55667179163731</v>
      </c>
      <c r="V109" s="6">
        <f t="shared" si="40"/>
        <v>227.55667179163731</v>
      </c>
      <c r="W109" s="6">
        <f t="shared" si="41"/>
        <v>-84.651634292402917</v>
      </c>
      <c r="X109" s="6">
        <f t="shared" si="42"/>
        <v>242.79196458132972</v>
      </c>
      <c r="Y109" s="6">
        <f t="shared" si="43"/>
        <v>204.38238293512126</v>
      </c>
    </row>
    <row r="110" ht="14.25">
      <c r="A110">
        <v>50</v>
      </c>
      <c r="B110">
        <f t="shared" si="25"/>
        <v>15</v>
      </c>
      <c r="E110">
        <f t="shared" si="26"/>
        <v>0.79499999999999993</v>
      </c>
      <c r="F110">
        <f t="shared" si="27"/>
        <v>0.79499999999999993</v>
      </c>
      <c r="G110">
        <f t="shared" si="28"/>
        <v>232.78522226635047</v>
      </c>
      <c r="H110">
        <f t="shared" si="29"/>
        <v>232.78522226635047</v>
      </c>
      <c r="I110">
        <f t="shared" si="30"/>
        <v>-11.184939985689077</v>
      </c>
      <c r="J110">
        <f t="shared" si="31"/>
        <v>233.05377617210507</v>
      </c>
      <c r="K110" s="5">
        <f t="shared" si="32"/>
        <v>29.004721005892755</v>
      </c>
      <c r="N110" s="5">
        <f t="shared" si="33"/>
        <v>90</v>
      </c>
      <c r="O110" s="5">
        <f t="shared" si="34"/>
        <v>141</v>
      </c>
      <c r="P110" s="6">
        <f t="shared" si="35"/>
        <v>8.6337599339888406e-15</v>
      </c>
      <c r="Q110" s="6"/>
      <c r="R110" s="6">
        <f t="shared" si="36"/>
        <v>230.21326727708367</v>
      </c>
      <c r="S110" s="6">
        <f t="shared" si="37"/>
        <v>4.5758927650140853e-16</v>
      </c>
      <c r="T110" s="6">
        <f t="shared" si="38"/>
        <v>4.5758927650140853e-16</v>
      </c>
      <c r="U110" s="6">
        <f t="shared" si="39"/>
        <v>230.21326727708367</v>
      </c>
      <c r="V110" s="6">
        <f t="shared" si="40"/>
        <v>230.21326727708367</v>
      </c>
      <c r="W110" s="6">
        <f t="shared" si="41"/>
        <v>-84.458576899107996</v>
      </c>
      <c r="X110" s="6">
        <f t="shared" si="42"/>
        <v>245.21704598622932</v>
      </c>
      <c r="Y110" s="6">
        <f t="shared" si="43"/>
        <v>204.48328309154394</v>
      </c>
    </row>
    <row r="111" ht="14.25">
      <c r="A111">
        <v>49</v>
      </c>
      <c r="B111">
        <f t="shared" si="25"/>
        <v>14.699999999999999</v>
      </c>
      <c r="E111">
        <f t="shared" si="26"/>
        <v>0.7790999999999999</v>
      </c>
      <c r="F111">
        <f t="shared" si="27"/>
        <v>0.7790999999999999</v>
      </c>
      <c r="G111">
        <f t="shared" si="28"/>
        <v>232.60552316656512</v>
      </c>
      <c r="H111">
        <f t="shared" si="29"/>
        <v>232.60552316656512</v>
      </c>
      <c r="I111">
        <f t="shared" si="30"/>
        <v>-11.200839985689077</v>
      </c>
      <c r="J111">
        <f t="shared" si="31"/>
        <v>232.87504852168357</v>
      </c>
      <c r="K111" s="5">
        <f t="shared" si="32"/>
        <v>29.004721005892755</v>
      </c>
      <c r="N111" s="5">
        <f t="shared" si="33"/>
        <v>88.200000000000003</v>
      </c>
      <c r="O111" s="5">
        <f t="shared" si="34"/>
        <v>140.93042501156816</v>
      </c>
      <c r="P111" s="6">
        <f t="shared" si="35"/>
        <v>4.4289170300161036</v>
      </c>
      <c r="Q111" s="6"/>
      <c r="R111" s="6">
        <f t="shared" si="36"/>
        <v>230.20957980269677</v>
      </c>
      <c r="S111" s="6">
        <f t="shared" si="37"/>
        <v>0.23473260259085349</v>
      </c>
      <c r="T111" s="6">
        <f t="shared" si="38"/>
        <v>0.23473260259085349</v>
      </c>
      <c r="U111" s="6">
        <f t="shared" si="39"/>
        <v>232.86248781375622</v>
      </c>
      <c r="V111" s="6">
        <f t="shared" si="40"/>
        <v>232.86248781375622</v>
      </c>
      <c r="W111" s="6">
        <f t="shared" si="41"/>
        <v>-84.182169087221212</v>
      </c>
      <c r="X111" s="6">
        <f t="shared" si="42"/>
        <v>247.6117441137259</v>
      </c>
      <c r="Y111" s="6">
        <f t="shared" si="43"/>
        <v>204.38238293512126</v>
      </c>
    </row>
    <row r="112" ht="14.25">
      <c r="A112">
        <v>48</v>
      </c>
      <c r="B112">
        <f t="shared" si="25"/>
        <v>14.4</v>
      </c>
      <c r="E112">
        <f t="shared" si="26"/>
        <v>0.76319999999999999</v>
      </c>
      <c r="F112">
        <f t="shared" si="27"/>
        <v>0.76319999999999999</v>
      </c>
      <c r="G112">
        <f t="shared" si="28"/>
        <v>232.4258240667798</v>
      </c>
      <c r="H112">
        <f t="shared" si="29"/>
        <v>232.4258240667798</v>
      </c>
      <c r="I112">
        <f t="shared" si="30"/>
        <v>-11.216739985689077</v>
      </c>
      <c r="J112">
        <f t="shared" si="31"/>
        <v>232.69632345404221</v>
      </c>
      <c r="K112" s="5">
        <f t="shared" si="32"/>
        <v>29.004721005892755</v>
      </c>
      <c r="N112" s="5">
        <f t="shared" si="33"/>
        <v>86.400000000000006</v>
      </c>
      <c r="O112" s="5">
        <f t="shared" si="34"/>
        <v>140.72176870838629</v>
      </c>
      <c r="P112" s="6">
        <f t="shared" si="35"/>
        <v>8.8534632536331763</v>
      </c>
      <c r="Q112" s="6"/>
      <c r="R112" s="6">
        <f t="shared" si="36"/>
        <v>230.19852101862813</v>
      </c>
      <c r="S112" s="6">
        <f t="shared" si="37"/>
        <v>0.46923355244255832</v>
      </c>
      <c r="T112" s="6">
        <f t="shared" si="38"/>
        <v>0.46923355244255832</v>
      </c>
      <c r="U112" s="6">
        <f t="shared" si="39"/>
        <v>235.50171894082959</v>
      </c>
      <c r="V112" s="6">
        <f t="shared" si="40"/>
        <v>235.50171894082959</v>
      </c>
      <c r="W112" s="6">
        <f t="shared" si="41"/>
        <v>-83.822683637881781</v>
      </c>
      <c r="X112" s="6">
        <f t="shared" si="42"/>
        <v>249.97460254262214</v>
      </c>
      <c r="Y112" s="6">
        <f t="shared" si="43"/>
        <v>204.07978204212571</v>
      </c>
    </row>
    <row r="113" ht="14.25">
      <c r="A113">
        <v>47</v>
      </c>
      <c r="B113">
        <f t="shared" si="25"/>
        <v>14.1</v>
      </c>
      <c r="E113">
        <f t="shared" si="26"/>
        <v>0.74729999999999996</v>
      </c>
      <c r="F113">
        <f t="shared" si="27"/>
        <v>0.74729999999999996</v>
      </c>
      <c r="G113">
        <f t="shared" si="28"/>
        <v>232.24612496699447</v>
      </c>
      <c r="H113">
        <f t="shared" si="29"/>
        <v>232.24612496699447</v>
      </c>
      <c r="I113">
        <f t="shared" si="30"/>
        <v>-11.232639985689078</v>
      </c>
      <c r="J113">
        <f t="shared" si="31"/>
        <v>232.51760097513676</v>
      </c>
      <c r="K113" s="5">
        <f t="shared" si="32"/>
        <v>29.004721005892755</v>
      </c>
      <c r="N113" s="5">
        <f t="shared" si="33"/>
        <v>84.599999999999994</v>
      </c>
      <c r="O113" s="5">
        <f t="shared" si="34"/>
        <v>140.37423700903429</v>
      </c>
      <c r="P113" s="6">
        <f t="shared" si="35"/>
        <v>13.269272177910546</v>
      </c>
      <c r="Q113" s="6"/>
      <c r="R113" s="6">
        <f t="shared" si="36"/>
        <v>230.18010183856248</v>
      </c>
      <c r="S113" s="6">
        <f t="shared" si="37"/>
        <v>0.70327142542925891</v>
      </c>
      <c r="T113" s="6">
        <f t="shared" si="38"/>
        <v>0.70327142542925891</v>
      </c>
      <c r="U113" s="6">
        <f t="shared" si="39"/>
        <v>238.12835605581958</v>
      </c>
      <c r="V113" s="6">
        <f t="shared" si="40"/>
        <v>238.12835605581958</v>
      </c>
      <c r="W113" s="6">
        <f t="shared" si="41"/>
        <v>-83.380475319826999</v>
      </c>
      <c r="X113" s="6">
        <f t="shared" si="42"/>
        <v>252.30421641821101</v>
      </c>
      <c r="Y113" s="6">
        <f t="shared" si="43"/>
        <v>203.57577904310529</v>
      </c>
    </row>
    <row r="114" ht="14.25">
      <c r="A114">
        <v>46</v>
      </c>
      <c r="B114">
        <f t="shared" si="25"/>
        <v>13.800000000000001</v>
      </c>
      <c r="E114">
        <f t="shared" si="26"/>
        <v>0.73140000000000005</v>
      </c>
      <c r="F114">
        <f t="shared" si="27"/>
        <v>0.73140000000000005</v>
      </c>
      <c r="G114">
        <f t="shared" si="28"/>
        <v>232.06642586720912</v>
      </c>
      <c r="H114">
        <f t="shared" si="29"/>
        <v>232.06642586720912</v>
      </c>
      <c r="I114">
        <f t="shared" si="30"/>
        <v>-11.248539985689076</v>
      </c>
      <c r="J114">
        <f t="shared" si="31"/>
        <v>232.33888109094119</v>
      </c>
      <c r="K114" s="5">
        <f t="shared" si="32"/>
        <v>29.004721005892755</v>
      </c>
      <c r="N114" s="5">
        <f t="shared" si="33"/>
        <v>82.799999999999997</v>
      </c>
      <c r="O114" s="5">
        <f t="shared" si="34"/>
        <v>139.88817288534136</v>
      </c>
      <c r="P114" s="6">
        <f t="shared" si="35"/>
        <v>17.671985932566933</v>
      </c>
      <c r="Q114" s="6"/>
      <c r="R114" s="6">
        <f t="shared" si="36"/>
        <v>230.15434044000676</v>
      </c>
      <c r="S114" s="6">
        <f t="shared" si="37"/>
        <v>0.93661525442604743</v>
      </c>
      <c r="T114" s="6">
        <f t="shared" si="38"/>
        <v>0.93661525442604743</v>
      </c>
      <c r="U114" s="6">
        <f t="shared" si="39"/>
        <v>240.73980698501143</v>
      </c>
      <c r="V114" s="6">
        <f t="shared" si="40"/>
        <v>240.73980698501143</v>
      </c>
      <c r="W114" s="6">
        <f t="shared" si="41"/>
        <v>-82.855980539278335</v>
      </c>
      <c r="X114" s="6">
        <f t="shared" si="42"/>
        <v>254.59923051397038</v>
      </c>
      <c r="Y114" s="6">
        <f t="shared" si="43"/>
        <v>202.87087132817092</v>
      </c>
    </row>
    <row r="115" ht="14.25">
      <c r="A115">
        <v>45</v>
      </c>
      <c r="B115">
        <f t="shared" si="25"/>
        <v>13.5</v>
      </c>
      <c r="E115">
        <f t="shared" si="26"/>
        <v>0.71550000000000002</v>
      </c>
      <c r="F115">
        <f t="shared" si="27"/>
        <v>0.71550000000000002</v>
      </c>
      <c r="G115">
        <f t="shared" si="28"/>
        <v>231.8867267674238</v>
      </c>
      <c r="H115">
        <f t="shared" si="29"/>
        <v>231.8867267674238</v>
      </c>
      <c r="I115">
        <f t="shared" si="30"/>
        <v>-11.264439985689076</v>
      </c>
      <c r="J115">
        <f t="shared" si="31"/>
        <v>232.1601638074479</v>
      </c>
      <c r="K115" s="5">
        <f t="shared" si="32"/>
        <v>29.004721005892755</v>
      </c>
      <c r="N115" s="5">
        <f t="shared" si="33"/>
        <v>81</v>
      </c>
      <c r="O115" s="5">
        <f t="shared" si="34"/>
        <v>139.26405602391443</v>
      </c>
      <c r="P115" s="6">
        <f t="shared" si="35"/>
        <v>22.05725957067256</v>
      </c>
      <c r="Q115" s="6"/>
      <c r="R115" s="6">
        <f t="shared" si="36"/>
        <v>230.12126224635114</v>
      </c>
      <c r="S115" s="6">
        <f t="shared" si="37"/>
        <v>1.1690347572456457</v>
      </c>
      <c r="T115" s="6">
        <f t="shared" si="38"/>
        <v>1.1690347572456457</v>
      </c>
      <c r="U115" s="6">
        <f t="shared" si="39"/>
        <v>243.33349454162231</v>
      </c>
      <c r="V115" s="6">
        <f t="shared" si="40"/>
        <v>243.33349454162231</v>
      </c>
      <c r="W115" s="6">
        <f t="shared" si="41"/>
        <v>-82.249716909261181</v>
      </c>
      <c r="X115" s="6">
        <f t="shared" si="42"/>
        <v>256.8583374108992</v>
      </c>
      <c r="Y115" s="6">
        <f t="shared" si="43"/>
        <v>201.96575455613282</v>
      </c>
    </row>
    <row r="116" ht="14.25">
      <c r="A116">
        <v>44</v>
      </c>
      <c r="B116">
        <f t="shared" si="25"/>
        <v>13.199999999999999</v>
      </c>
      <c r="E116">
        <f t="shared" si="26"/>
        <v>0.69959999999999989</v>
      </c>
      <c r="F116">
        <f t="shared" si="27"/>
        <v>0.69959999999999989</v>
      </c>
      <c r="G116">
        <f t="shared" si="28"/>
        <v>231.70702766763844</v>
      </c>
      <c r="H116">
        <f t="shared" si="29"/>
        <v>231.70702766763844</v>
      </c>
      <c r="I116">
        <f t="shared" si="30"/>
        <v>-11.280339985689077</v>
      </c>
      <c r="J116">
        <f t="shared" si="31"/>
        <v>231.98144913066756</v>
      </c>
      <c r="K116" s="5">
        <f t="shared" si="32"/>
        <v>29.004721005892755</v>
      </c>
      <c r="N116" s="5">
        <f t="shared" si="33"/>
        <v>79.200000000000003</v>
      </c>
      <c r="O116" s="5">
        <f t="shared" si="34"/>
        <v>138.5025023527451</v>
      </c>
      <c r="P116" s="6">
        <f t="shared" si="35"/>
        <v>26.420765356587189</v>
      </c>
      <c r="Q116" s="6"/>
      <c r="R116" s="6">
        <f t="shared" si="36"/>
        <v>230.08089990177916</v>
      </c>
      <c r="S116" s="6">
        <f t="shared" si="37"/>
        <v>1.4003005638991211</v>
      </c>
      <c r="T116" s="6">
        <f t="shared" si="38"/>
        <v>1.4003005638991211</v>
      </c>
      <c r="U116" s="6">
        <f t="shared" si="39"/>
        <v>245.90685906917355</v>
      </c>
      <c r="V116" s="6">
        <f t="shared" si="40"/>
        <v>245.90685906917355</v>
      </c>
      <c r="W116" s="6">
        <f t="shared" si="41"/>
        <v>-81.562282738783196</v>
      </c>
      <c r="X116" s="6">
        <f t="shared" si="42"/>
        <v>259.08027578885196</v>
      </c>
      <c r="Y116" s="6">
        <f t="shared" si="43"/>
        <v>200.86132196796882</v>
      </c>
    </row>
    <row r="117" ht="14.25">
      <c r="A117">
        <v>43</v>
      </c>
      <c r="B117">
        <f t="shared" si="25"/>
        <v>12.9</v>
      </c>
      <c r="E117">
        <f t="shared" si="26"/>
        <v>0.68369999999999997</v>
      </c>
      <c r="F117">
        <f t="shared" si="27"/>
        <v>0.68369999999999997</v>
      </c>
      <c r="G117">
        <f t="shared" si="28"/>
        <v>231.52732856785312</v>
      </c>
      <c r="H117">
        <f t="shared" si="29"/>
        <v>231.52732856785312</v>
      </c>
      <c r="I117">
        <f t="shared" si="30"/>
        <v>-11.296239985689077</v>
      </c>
      <c r="J117">
        <f t="shared" si="31"/>
        <v>231.80273706662933</v>
      </c>
      <c r="K117" s="5">
        <f t="shared" si="32"/>
        <v>29.004721005892755</v>
      </c>
      <c r="N117" s="5">
        <f t="shared" si="33"/>
        <v>77.400000000000006</v>
      </c>
      <c r="O117" s="5">
        <f t="shared" si="34"/>
        <v>137.6042634333634</v>
      </c>
      <c r="P117" s="6">
        <f t="shared" si="35"/>
        <v>30.758197036912488</v>
      </c>
      <c r="Q117" s="6"/>
      <c r="R117" s="6">
        <f t="shared" si="36"/>
        <v>230.03329323905191</v>
      </c>
      <c r="S117" s="6">
        <f t="shared" si="37"/>
        <v>1.6301844429563619</v>
      </c>
      <c r="T117" s="6">
        <f t="shared" si="38"/>
        <v>1.6301844429563619</v>
      </c>
      <c r="U117" s="6">
        <f t="shared" si="39"/>
        <v>248.45736096756247</v>
      </c>
      <c r="V117" s="6">
        <f t="shared" si="40"/>
        <v>248.45736096756247</v>
      </c>
      <c r="W117" s="6">
        <f t="shared" si="41"/>
        <v>-80.794356442375815</v>
      </c>
      <c r="X117" s="6">
        <f t="shared" si="42"/>
        <v>261.26382882424292</v>
      </c>
      <c r="Y117" s="6">
        <f t="shared" si="43"/>
        <v>199.5586635053038</v>
      </c>
    </row>
    <row r="118" ht="14.25">
      <c r="A118">
        <v>42</v>
      </c>
      <c r="B118">
        <f t="shared" si="25"/>
        <v>12.6</v>
      </c>
      <c r="E118">
        <f t="shared" si="26"/>
        <v>0.66779999999999995</v>
      </c>
      <c r="F118">
        <f t="shared" si="27"/>
        <v>0.66779999999999995</v>
      </c>
      <c r="G118">
        <f t="shared" si="28"/>
        <v>231.34762946806779</v>
      </c>
      <c r="H118">
        <f t="shared" si="29"/>
        <v>231.34762946806779</v>
      </c>
      <c r="I118">
        <f t="shared" si="30"/>
        <v>-11.312139985689077</v>
      </c>
      <c r="J118">
        <f t="shared" si="31"/>
        <v>231.62402762138089</v>
      </c>
      <c r="K118" s="5">
        <f t="shared" si="32"/>
        <v>29.004721005892755</v>
      </c>
      <c r="N118" s="5">
        <f t="shared" si="33"/>
        <v>75.599999999999994</v>
      </c>
      <c r="O118" s="5">
        <f t="shared" si="34"/>
        <v>136.57022571913697</v>
      </c>
      <c r="P118" s="6">
        <f t="shared" si="35"/>
        <v>35.06527409024455</v>
      </c>
      <c r="Q118" s="6"/>
      <c r="R118" s="6">
        <f t="shared" si="36"/>
        <v>229.97848924019792</v>
      </c>
      <c r="S118" s="6">
        <f t="shared" si="37"/>
        <v>1.8584595267829611</v>
      </c>
      <c r="T118" s="6">
        <f t="shared" si="38"/>
        <v>1.8584595267829611</v>
      </c>
      <c r="U118" s="6">
        <f t="shared" si="39"/>
        <v>250.98248319934132</v>
      </c>
      <c r="V118" s="6">
        <f t="shared" si="40"/>
        <v>250.98248319934132</v>
      </c>
      <c r="W118" s="6">
        <f t="shared" si="41"/>
        <v>-79.946695870580612</v>
      </c>
      <c r="X118" s="6">
        <f t="shared" si="42"/>
        <v>263.40782268856549</v>
      </c>
      <c r="Y118" s="6">
        <f t="shared" si="43"/>
        <v>198.05906473476838</v>
      </c>
    </row>
    <row r="119" ht="14.25">
      <c r="A119">
        <v>41</v>
      </c>
      <c r="B119">
        <f t="shared" si="25"/>
        <v>12.300000000000001</v>
      </c>
      <c r="E119">
        <f t="shared" si="26"/>
        <v>0.65190000000000003</v>
      </c>
      <c r="F119">
        <f t="shared" si="27"/>
        <v>0.65190000000000003</v>
      </c>
      <c r="G119">
        <f t="shared" si="28"/>
        <v>231.16793036828244</v>
      </c>
      <c r="H119">
        <f t="shared" si="29"/>
        <v>231.16793036828244</v>
      </c>
      <c r="I119">
        <f t="shared" si="30"/>
        <v>-11.328039985689077</v>
      </c>
      <c r="J119">
        <f t="shared" si="31"/>
        <v>231.44532080098844</v>
      </c>
      <c r="K119" s="5">
        <f t="shared" si="32"/>
        <v>29.004721005892755</v>
      </c>
      <c r="N119" s="5">
        <f t="shared" si="33"/>
        <v>73.799999999999997</v>
      </c>
      <c r="O119" s="5">
        <f t="shared" si="34"/>
        <v>135.40140968044895</v>
      </c>
      <c r="P119" s="6">
        <f t="shared" si="35"/>
        <v>39.33774595153136</v>
      </c>
      <c r="Q119" s="6"/>
      <c r="R119" s="6">
        <f t="shared" si="36"/>
        <v>229.91654199014746</v>
      </c>
      <c r="S119" s="6">
        <f t="shared" si="37"/>
        <v>2.0849005354311618</v>
      </c>
      <c r="T119" s="6">
        <f t="shared" si="38"/>
        <v>2.0849005354311618</v>
      </c>
      <c r="U119" s="6">
        <f t="shared" si="39"/>
        <v>253.47973377372892</v>
      </c>
      <c r="V119" s="6">
        <f t="shared" si="40"/>
        <v>253.47973377372892</v>
      </c>
      <c r="W119" s="6">
        <f t="shared" si="41"/>
        <v>-79.020137562042748</v>
      </c>
      <c r="X119" s="6">
        <f t="shared" si="42"/>
        <v>265.51112514228976</v>
      </c>
      <c r="Y119" s="6">
        <f t="shared" si="43"/>
        <v>196.3640055793004</v>
      </c>
    </row>
    <row r="120" ht="14.25">
      <c r="A120">
        <v>40</v>
      </c>
      <c r="B120">
        <f t="shared" si="25"/>
        <v>12</v>
      </c>
      <c r="E120">
        <f t="shared" si="26"/>
        <v>0.63600000000000001</v>
      </c>
      <c r="F120">
        <f t="shared" si="27"/>
        <v>0.63600000000000001</v>
      </c>
      <c r="G120">
        <f t="shared" si="28"/>
        <v>230.98823126849712</v>
      </c>
      <c r="H120">
        <f t="shared" si="29"/>
        <v>230.98823126849712</v>
      </c>
      <c r="I120">
        <f t="shared" si="30"/>
        <v>-11.343939985689078</v>
      </c>
      <c r="J120">
        <f t="shared" si="31"/>
        <v>231.26661661153696</v>
      </c>
      <c r="K120" s="5">
        <f t="shared" si="32"/>
        <v>29.004721005892755</v>
      </c>
      <c r="N120" s="5">
        <f t="shared" si="33"/>
        <v>72</v>
      </c>
      <c r="O120" s="5">
        <f t="shared" si="34"/>
        <v>134.09896879761664</v>
      </c>
      <c r="P120" s="6">
        <f t="shared" si="35"/>
        <v>43.57139620686759</v>
      </c>
      <c r="Q120" s="6"/>
      <c r="R120" s="6">
        <f t="shared" si="36"/>
        <v>229.84751262335735</v>
      </c>
      <c r="S120" s="6">
        <f t="shared" si="37"/>
        <v>2.3092839989639824</v>
      </c>
      <c r="T120" s="6">
        <f t="shared" si="38"/>
        <v>2.3092839989639824</v>
      </c>
      <c r="U120" s="6">
        <f t="shared" si="39"/>
        <v>255.94664820590506</v>
      </c>
      <c r="V120" s="6">
        <f t="shared" si="40"/>
        <v>255.94664820590506</v>
      </c>
      <c r="W120" s="6">
        <f t="shared" si="41"/>
        <v>-78.015595917947991</v>
      </c>
      <c r="X120" s="6">
        <f t="shared" si="42"/>
        <v>267.5726442188548</v>
      </c>
      <c r="Y120" s="6">
        <f t="shared" si="43"/>
        <v>194.47515885763943</v>
      </c>
    </row>
    <row r="121" ht="14.25">
      <c r="A121">
        <v>39</v>
      </c>
      <c r="B121">
        <f t="shared" si="25"/>
        <v>11.699999999999999</v>
      </c>
      <c r="E121">
        <f t="shared" si="26"/>
        <v>0.62009999999999998</v>
      </c>
      <c r="F121">
        <f t="shared" si="27"/>
        <v>0.62009999999999998</v>
      </c>
      <c r="G121">
        <f t="shared" si="28"/>
        <v>230.80853216871176</v>
      </c>
      <c r="H121">
        <f t="shared" si="29"/>
        <v>230.80853216871176</v>
      </c>
      <c r="I121">
        <f t="shared" si="30"/>
        <v>-11.359839985689076</v>
      </c>
      <c r="J121">
        <f t="shared" si="31"/>
        <v>231.08791505913007</v>
      </c>
      <c r="K121" s="5">
        <f t="shared" si="32"/>
        <v>29.004721005892755</v>
      </c>
      <c r="N121" s="5">
        <f t="shared" si="33"/>
        <v>70.200000000000003</v>
      </c>
      <c r="O121" s="5">
        <f t="shared" si="34"/>
        <v>132.66418842254578</v>
      </c>
      <c r="P121" s="6">
        <f t="shared" si="35"/>
        <v>47.762046754586102</v>
      </c>
      <c r="Q121" s="6"/>
      <c r="R121" s="6">
        <f t="shared" si="36"/>
        <v>229.77146926347859</v>
      </c>
      <c r="S121" s="6">
        <f t="shared" si="37"/>
        <v>2.5313884779930635</v>
      </c>
      <c r="T121" s="6">
        <f t="shared" si="38"/>
        <v>2.5313884779930635</v>
      </c>
      <c r="U121" s="6">
        <f t="shared" si="39"/>
        <v>258.38079194915946</v>
      </c>
      <c r="V121" s="6">
        <f t="shared" si="40"/>
        <v>258.38079194915946</v>
      </c>
      <c r="W121" s="6">
        <f t="shared" si="41"/>
        <v>-76.934062299619242</v>
      </c>
      <c r="X121" s="6">
        <f t="shared" si="42"/>
        <v>269.59132699364892</v>
      </c>
      <c r="Y121" s="6">
        <f t="shared" si="43"/>
        <v>192.39438863345643</v>
      </c>
    </row>
    <row r="122" ht="14.25">
      <c r="A122">
        <v>38</v>
      </c>
      <c r="B122">
        <f t="shared" si="25"/>
        <v>11.4</v>
      </c>
      <c r="E122">
        <f t="shared" si="26"/>
        <v>0.60419999999999996</v>
      </c>
      <c r="F122">
        <f t="shared" si="27"/>
        <v>0.60419999999999996</v>
      </c>
      <c r="G122">
        <f t="shared" si="28"/>
        <v>230.62883306892644</v>
      </c>
      <c r="H122">
        <f t="shared" si="29"/>
        <v>230.62883306892644</v>
      </c>
      <c r="I122">
        <f t="shared" si="30"/>
        <v>-11.375739985689076</v>
      </c>
      <c r="J122">
        <f t="shared" si="31"/>
        <v>230.90921614989026</v>
      </c>
      <c r="K122" s="5">
        <f t="shared" si="32"/>
        <v>29.004721005892755</v>
      </c>
      <c r="N122" s="5">
        <f t="shared" si="33"/>
        <v>68.400000000000006</v>
      </c>
      <c r="O122" s="5">
        <f t="shared" si="34"/>
        <v>131.09848451024345</v>
      </c>
      <c r="P122" s="6">
        <f t="shared" si="35"/>
        <v>51.905561928539612</v>
      </c>
      <c r="Q122" s="6"/>
      <c r="R122" s="6">
        <f t="shared" si="36"/>
        <v>229.68848695612655</v>
      </c>
      <c r="S122" s="6">
        <f t="shared" si="37"/>
        <v>2.7509947822125995</v>
      </c>
      <c r="T122" s="6">
        <f t="shared" si="38"/>
        <v>2.7509947822125995</v>
      </c>
      <c r="U122" s="6">
        <f t="shared" si="39"/>
        <v>260.77976279749515</v>
      </c>
      <c r="V122" s="6">
        <f t="shared" si="40"/>
        <v>260.77976279749515</v>
      </c>
      <c r="W122" s="6">
        <f t="shared" si="41"/>
        <v>-75.776604050162675</v>
      </c>
      <c r="X122" s="6">
        <f t="shared" si="42"/>
        <v>271.56615843306577</v>
      </c>
      <c r="Y122" s="6">
        <f t="shared" si="43"/>
        <v>190.12374837574822</v>
      </c>
    </row>
    <row r="123" ht="14.25">
      <c r="A123">
        <v>37</v>
      </c>
      <c r="B123">
        <f t="shared" si="25"/>
        <v>11.1</v>
      </c>
      <c r="E123">
        <f t="shared" si="26"/>
        <v>0.58829999999999993</v>
      </c>
      <c r="F123">
        <f t="shared" si="27"/>
        <v>0.58829999999999993</v>
      </c>
      <c r="G123">
        <f t="shared" si="28"/>
        <v>230.44913396914109</v>
      </c>
      <c r="H123">
        <f t="shared" si="29"/>
        <v>230.44913396914109</v>
      </c>
      <c r="I123">
        <f t="shared" si="30"/>
        <v>-11.391639985689077</v>
      </c>
      <c r="J123">
        <f t="shared" si="31"/>
        <v>230.73051988995883</v>
      </c>
      <c r="K123" s="5">
        <f t="shared" si="32"/>
        <v>29.004721005892755</v>
      </c>
      <c r="N123" s="5">
        <f t="shared" si="33"/>
        <v>66.599999999999994</v>
      </c>
      <c r="O123" s="5">
        <f t="shared" si="34"/>
        <v>129.40340222144135</v>
      </c>
      <c r="P123" s="6">
        <f t="shared" si="35"/>
        <v>55.997852579504062</v>
      </c>
      <c r="Q123" s="6"/>
      <c r="R123" s="6">
        <f t="shared" si="36"/>
        <v>229.59864759482005</v>
      </c>
      <c r="S123" s="6">
        <f t="shared" si="37"/>
        <v>2.9678861867137152</v>
      </c>
      <c r="T123" s="6">
        <f t="shared" si="38"/>
        <v>2.9678861867137152</v>
      </c>
      <c r="U123" s="6">
        <f t="shared" si="39"/>
        <v>263.14119325631617</v>
      </c>
      <c r="V123" s="6">
        <f t="shared" si="40"/>
        <v>263.14119325631617</v>
      </c>
      <c r="W123" s="6">
        <f t="shared" si="41"/>
        <v>-74.54436344112888</v>
      </c>
      <c r="X123" s="6">
        <f t="shared" si="42"/>
        <v>273.49616031893584</v>
      </c>
      <c r="Y123" s="6">
        <f t="shared" si="43"/>
        <v>187.66547893231149</v>
      </c>
    </row>
    <row r="124" ht="14.25">
      <c r="A124">
        <v>36</v>
      </c>
      <c r="B124">
        <f t="shared" si="25"/>
        <v>10.800000000000001</v>
      </c>
      <c r="E124">
        <f t="shared" si="26"/>
        <v>0.57240000000000002</v>
      </c>
      <c r="F124">
        <f t="shared" si="27"/>
        <v>0.57240000000000002</v>
      </c>
      <c r="G124">
        <f t="shared" si="28"/>
        <v>230.26943486935576</v>
      </c>
      <c r="H124">
        <f t="shared" si="29"/>
        <v>230.26943486935576</v>
      </c>
      <c r="I124">
        <f t="shared" si="30"/>
        <v>-11.407539985689077</v>
      </c>
      <c r="J124">
        <f t="shared" si="31"/>
        <v>230.55182628549608</v>
      </c>
      <c r="K124" s="5">
        <f t="shared" si="32"/>
        <v>29.004721005892755</v>
      </c>
      <c r="N124" s="5">
        <f t="shared" si="33"/>
        <v>64.799999999999997</v>
      </c>
      <c r="O124" s="5">
        <f t="shared" si="34"/>
        <v>127.58061439770876</v>
      </c>
      <c r="P124" s="6">
        <f t="shared" si="35"/>
        <v>60.034880110675246</v>
      </c>
      <c r="Q124" s="6"/>
      <c r="R124" s="6">
        <f t="shared" si="36"/>
        <v>229.50203984016221</v>
      </c>
      <c r="S124" s="6">
        <f t="shared" si="37"/>
        <v>3.181848645865788</v>
      </c>
      <c r="T124" s="6">
        <f t="shared" si="38"/>
        <v>3.181848645865788</v>
      </c>
      <c r="U124" s="6">
        <f t="shared" si="39"/>
        <v>265.46275287885862</v>
      </c>
      <c r="V124" s="6">
        <f t="shared" si="40"/>
        <v>265.46275287885862</v>
      </c>
      <c r="W124" s="6">
        <f t="shared" si="41"/>
        <v>-73.238556545228747</v>
      </c>
      <c r="X124" s="6">
        <f t="shared" si="42"/>
        <v>275.38039024384187</v>
      </c>
      <c r="Y124" s="6">
        <f t="shared" si="43"/>
        <v>185.02200631829635</v>
      </c>
    </row>
    <row r="125" ht="14.25">
      <c r="A125">
        <v>35</v>
      </c>
      <c r="B125">
        <f t="shared" si="25"/>
        <v>10.5</v>
      </c>
      <c r="E125">
        <f t="shared" si="26"/>
        <v>0.55649999999999999</v>
      </c>
      <c r="F125">
        <f t="shared" si="27"/>
        <v>0.55649999999999999</v>
      </c>
      <c r="G125">
        <f t="shared" si="28"/>
        <v>230.08973576957044</v>
      </c>
      <c r="H125">
        <f t="shared" si="29"/>
        <v>230.08973576957044</v>
      </c>
      <c r="I125">
        <f t="shared" si="30"/>
        <v>-11.423439985689077</v>
      </c>
      <c r="J125">
        <f t="shared" si="31"/>
        <v>230.37313534268137</v>
      </c>
      <c r="K125" s="5">
        <f t="shared" si="32"/>
        <v>29.004721005892755</v>
      </c>
      <c r="N125" s="5">
        <f t="shared" si="33"/>
        <v>63</v>
      </c>
      <c r="O125" s="5">
        <f t="shared" si="34"/>
        <v>125.63191991055986</v>
      </c>
      <c r="P125" s="6">
        <f t="shared" si="35"/>
        <v>64.012660463276106</v>
      </c>
      <c r="Q125" s="6"/>
      <c r="R125" s="6">
        <f t="shared" si="36"/>
        <v>229.39875903234332</v>
      </c>
      <c r="S125" s="6">
        <f t="shared" si="37"/>
        <v>3.3926710045536335</v>
      </c>
      <c r="T125" s="6">
        <f t="shared" si="38"/>
        <v>3.3926710045536335</v>
      </c>
      <c r="U125" s="6">
        <f t="shared" si="39"/>
        <v>267.74215056606033</v>
      </c>
      <c r="V125" s="6">
        <f t="shared" si="40"/>
        <v>267.74215056606033</v>
      </c>
      <c r="W125" s="6">
        <f t="shared" si="41"/>
        <v>-71.860472036216549</v>
      </c>
      <c r="X125" s="6">
        <f t="shared" si="42"/>
        <v>277.21794067305024</v>
      </c>
      <c r="Y125" s="6">
        <f t="shared" si="43"/>
        <v>182.19593932202258</v>
      </c>
    </row>
    <row r="126" ht="14.25">
      <c r="A126">
        <v>34</v>
      </c>
      <c r="B126">
        <f t="shared" si="25"/>
        <v>10.199999999999999</v>
      </c>
      <c r="E126">
        <f t="shared" si="26"/>
        <v>0.54059999999999997</v>
      </c>
      <c r="F126">
        <f t="shared" si="27"/>
        <v>0.54059999999999997</v>
      </c>
      <c r="G126">
        <f t="shared" si="28"/>
        <v>229.91003666978509</v>
      </c>
      <c r="H126">
        <f t="shared" si="29"/>
        <v>229.91003666978509</v>
      </c>
      <c r="I126">
        <f t="shared" si="30"/>
        <v>-11.439339985689077</v>
      </c>
      <c r="J126">
        <f t="shared" si="31"/>
        <v>230.19444706771296</v>
      </c>
      <c r="K126" s="5">
        <f t="shared" si="32"/>
        <v>29.004721005892755</v>
      </c>
      <c r="N126" s="5">
        <f t="shared" si="33"/>
        <v>61.200000000000003</v>
      </c>
      <c r="O126" s="5">
        <f t="shared" si="34"/>
        <v>123.55924188618478</v>
      </c>
      <c r="P126" s="6">
        <f t="shared" si="35"/>
        <v>67.927268048341844</v>
      </c>
      <c r="Q126" s="6"/>
      <c r="R126" s="6">
        <f t="shared" si="36"/>
        <v>229.28890709705146</v>
      </c>
      <c r="S126" s="6">
        <f t="shared" si="37"/>
        <v>3.6001452065621176</v>
      </c>
      <c r="T126" s="6">
        <f t="shared" si="38"/>
        <v>3.6001452065621176</v>
      </c>
      <c r="U126" s="6">
        <f t="shared" si="39"/>
        <v>269.977136827599</v>
      </c>
      <c r="V126" s="6">
        <f t="shared" si="40"/>
        <v>269.977136827599</v>
      </c>
      <c r="W126" s="6">
        <f t="shared" si="41"/>
        <v>-70.411469917124563</v>
      </c>
      <c r="X126" s="6">
        <f t="shared" si="42"/>
        <v>279.00793806900595</v>
      </c>
      <c r="Y126" s="6">
        <f t="shared" si="43"/>
        <v>179.19006693042039</v>
      </c>
    </row>
    <row r="127" ht="14.25">
      <c r="A127">
        <v>33</v>
      </c>
      <c r="B127">
        <f t="shared" si="25"/>
        <v>9.9000000000000004</v>
      </c>
      <c r="E127">
        <f t="shared" si="26"/>
        <v>0.52470000000000006</v>
      </c>
      <c r="F127">
        <f t="shared" si="27"/>
        <v>0.52470000000000006</v>
      </c>
      <c r="G127">
        <f t="shared" si="28"/>
        <v>229.73033756999976</v>
      </c>
      <c r="H127">
        <f t="shared" si="29"/>
        <v>229.73033756999976</v>
      </c>
      <c r="I127">
        <f t="shared" si="30"/>
        <v>-11.455239985689078</v>
      </c>
      <c r="J127">
        <f t="shared" si="31"/>
        <v>230.01576146680856</v>
      </c>
      <c r="K127" s="5">
        <f t="shared" si="32"/>
        <v>29.004721005892755</v>
      </c>
      <c r="N127" s="5">
        <f t="shared" si="33"/>
        <v>59.399999999999999</v>
      </c>
      <c r="O127" s="5">
        <f t="shared" si="34"/>
        <v>121.36462580755605</v>
      </c>
      <c r="P127" s="6">
        <f t="shared" si="35"/>
        <v>71.774839620802339</v>
      </c>
      <c r="Q127" s="6"/>
      <c r="R127" s="6">
        <f t="shared" si="36"/>
        <v>229.17259244488412</v>
      </c>
      <c r="S127" s="6">
        <f t="shared" si="37"/>
        <v>3.804066499902524</v>
      </c>
      <c r="T127" s="6">
        <f t="shared" si="38"/>
        <v>3.804066499902524</v>
      </c>
      <c r="U127" s="6">
        <f t="shared" si="39"/>
        <v>272.16550600186764</v>
      </c>
      <c r="V127" s="6">
        <f t="shared" si="40"/>
        <v>272.16550600186764</v>
      </c>
      <c r="W127" s="6">
        <f t="shared" si="41"/>
        <v>-68.892980178104139</v>
      </c>
      <c r="X127" s="6">
        <f t="shared" si="42"/>
        <v>280.74954207455676</v>
      </c>
      <c r="Y127" s="6">
        <f t="shared" si="43"/>
        <v>176.00735557663677</v>
      </c>
    </row>
    <row r="128" ht="14.25">
      <c r="A128">
        <v>32</v>
      </c>
      <c r="B128">
        <f t="shared" si="25"/>
        <v>9.5999999999999996</v>
      </c>
      <c r="E128">
        <f t="shared" si="26"/>
        <v>0.50879999999999992</v>
      </c>
      <c r="F128">
        <f t="shared" si="27"/>
        <v>0.50879999999999992</v>
      </c>
      <c r="G128">
        <f t="shared" si="28"/>
        <v>229.55063847021441</v>
      </c>
      <c r="H128">
        <f t="shared" si="29"/>
        <v>229.55063847021441</v>
      </c>
      <c r="I128">
        <f t="shared" si="30"/>
        <v>-11.471139985689078</v>
      </c>
      <c r="J128">
        <f t="shared" si="31"/>
        <v>229.83707854620488</v>
      </c>
      <c r="K128" s="5">
        <f t="shared" si="32"/>
        <v>29.004721005892755</v>
      </c>
      <c r="N128" s="5">
        <f t="shared" si="33"/>
        <v>57.600000000000001</v>
      </c>
      <c r="O128" s="5">
        <f t="shared" si="34"/>
        <v>119.05023749578413</v>
      </c>
      <c r="P128" s="6">
        <f t="shared" si="35"/>
        <v>75.551578092038511</v>
      </c>
      <c r="Q128" s="6"/>
      <c r="R128" s="6">
        <f t="shared" si="36"/>
        <v>229.04992986436022</v>
      </c>
      <c r="S128" s="6">
        <f t="shared" si="37"/>
        <v>4.0042336388780413</v>
      </c>
      <c r="T128" s="6">
        <f t="shared" si="38"/>
        <v>4.0042336388780413</v>
      </c>
      <c r="U128" s="6">
        <f t="shared" si="39"/>
        <v>274.30509843269635</v>
      </c>
      <c r="V128" s="6">
        <f t="shared" si="40"/>
        <v>274.30509843269635</v>
      </c>
      <c r="W128" s="6">
        <f t="shared" si="41"/>
        <v>-67.306501385198231</v>
      </c>
      <c r="X128" s="6">
        <f t="shared" si="42"/>
        <v>282.44194475128324</v>
      </c>
      <c r="Y128" s="6">
        <f t="shared" si="43"/>
        <v>172.65094621252456</v>
      </c>
    </row>
    <row r="129" ht="14.25">
      <c r="A129">
        <v>31</v>
      </c>
      <c r="B129">
        <f t="shared" si="25"/>
        <v>9.3000000000000007</v>
      </c>
      <c r="E129">
        <f t="shared" si="26"/>
        <v>0.4929</v>
      </c>
      <c r="F129">
        <f t="shared" si="27"/>
        <v>0.4929</v>
      </c>
      <c r="G129">
        <f t="shared" si="28"/>
        <v>229.37093937042908</v>
      </c>
      <c r="H129">
        <f t="shared" si="29"/>
        <v>229.37093937042908</v>
      </c>
      <c r="I129">
        <f t="shared" si="30"/>
        <v>-11.487039985689076</v>
      </c>
      <c r="J129">
        <f t="shared" si="31"/>
        <v>229.65839831215811</v>
      </c>
      <c r="K129" s="5">
        <f t="shared" si="32"/>
        <v>29.004721005892755</v>
      </c>
      <c r="N129" s="5">
        <f t="shared" si="33"/>
        <v>55.799999999999997</v>
      </c>
      <c r="O129" s="5">
        <f t="shared" si="34"/>
        <v>116.61836097271322</v>
      </c>
      <c r="P129" s="6">
        <f t="shared" si="35"/>
        <v>79.253756277150416</v>
      </c>
      <c r="Q129" s="6"/>
      <c r="R129" s="6">
        <f t="shared" si="36"/>
        <v>228.92104040863745</v>
      </c>
      <c r="S129" s="6">
        <f t="shared" si="37"/>
        <v>4.200449082688972</v>
      </c>
      <c r="T129" s="6">
        <f t="shared" si="38"/>
        <v>4.200449082688972</v>
      </c>
      <c r="U129" s="6">
        <f t="shared" si="39"/>
        <v>276.39380260067202</v>
      </c>
      <c r="V129" s="6">
        <f t="shared" si="40"/>
        <v>276.39380260067202</v>
      </c>
      <c r="W129" s="6">
        <f t="shared" si="41"/>
        <v>-65.653599201437501</v>
      </c>
      <c r="X129" s="6">
        <f t="shared" si="42"/>
        <v>284.08436986952</v>
      </c>
      <c r="Y129" s="6">
        <f t="shared" si="43"/>
        <v>169.12415120890196</v>
      </c>
    </row>
    <row r="130" ht="14.25">
      <c r="A130">
        <v>30</v>
      </c>
      <c r="B130">
        <f t="shared" si="25"/>
        <v>9</v>
      </c>
      <c r="E130">
        <f t="shared" si="26"/>
        <v>0.47699999999999998</v>
      </c>
      <c r="F130">
        <f t="shared" si="27"/>
        <v>0.47699999999999998</v>
      </c>
      <c r="G130">
        <f t="shared" si="28"/>
        <v>229.19124027064376</v>
      </c>
      <c r="H130">
        <f t="shared" si="29"/>
        <v>229.19124027064376</v>
      </c>
      <c r="I130">
        <f t="shared" si="30"/>
        <v>-11.502939985689077</v>
      </c>
      <c r="J130">
        <f t="shared" si="31"/>
        <v>229.47972077094377</v>
      </c>
      <c r="K130" s="5">
        <f t="shared" si="32"/>
        <v>29.004721005892755</v>
      </c>
      <c r="N130" s="5">
        <f t="shared" si="33"/>
        <v>54</v>
      </c>
      <c r="O130" s="5">
        <f t="shared" si="34"/>
        <v>114.07139620686759</v>
      </c>
      <c r="P130" s="6">
        <f t="shared" si="35"/>
        <v>82.877720573238719</v>
      </c>
      <c r="Q130" s="6"/>
      <c r="R130" s="6">
        <f t="shared" si="36"/>
        <v>228.78605127604763</v>
      </c>
      <c r="S130" s="6">
        <f t="shared" si="37"/>
        <v>4.3925191903816518</v>
      </c>
      <c r="T130" s="6">
        <f t="shared" si="38"/>
        <v>4.3925191903816518</v>
      </c>
      <c r="U130" s="6">
        <f t="shared" si="39"/>
        <v>278.42955720695306</v>
      </c>
      <c r="V130" s="6">
        <f t="shared" si="40"/>
        <v>278.42955720695306</v>
      </c>
      <c r="W130" s="6">
        <f t="shared" si="41"/>
        <v>-63.93590484172006</v>
      </c>
      <c r="X130" s="6">
        <f t="shared" si="42"/>
        <v>285.67607224685344</v>
      </c>
      <c r="Y130" s="6">
        <f t="shared" si="43"/>
        <v>165.43045108664239</v>
      </c>
    </row>
    <row r="131" ht="14.25">
      <c r="A131">
        <v>29</v>
      </c>
      <c r="B131">
        <f t="shared" si="25"/>
        <v>8.6999999999999993</v>
      </c>
      <c r="E131">
        <f t="shared" si="26"/>
        <v>0.46109999999999995</v>
      </c>
      <c r="F131">
        <f t="shared" si="27"/>
        <v>0.46109999999999995</v>
      </c>
      <c r="G131">
        <f t="shared" si="28"/>
        <v>229.01154117085841</v>
      </c>
      <c r="H131">
        <f t="shared" si="29"/>
        <v>229.01154117085841</v>
      </c>
      <c r="I131">
        <f t="shared" si="30"/>
        <v>-11.518839985689077</v>
      </c>
      <c r="J131">
        <f t="shared" si="31"/>
        <v>229.30104592885678</v>
      </c>
      <c r="K131" s="5">
        <f t="shared" si="32"/>
        <v>29.004721005892755</v>
      </c>
      <c r="N131" s="5">
        <f t="shared" si="33"/>
        <v>52.200000000000003</v>
      </c>
      <c r="O131" s="5">
        <f t="shared" si="34"/>
        <v>111.41185674497235</v>
      </c>
      <c r="P131" s="6">
        <f t="shared" si="35"/>
        <v>86.419894565069683</v>
      </c>
      <c r="Q131" s="6"/>
      <c r="R131" s="6">
        <f t="shared" si="36"/>
        <v>228.6450956845672</v>
      </c>
      <c r="S131" s="6">
        <f t="shared" si="37"/>
        <v>4.580254411948693</v>
      </c>
      <c r="T131" s="6">
        <f t="shared" si="38"/>
        <v>4.580254411948693</v>
      </c>
      <c r="U131" s="6">
        <f t="shared" si="39"/>
        <v>280.4103532075228</v>
      </c>
      <c r="V131" s="6">
        <f t="shared" si="40"/>
        <v>280.4103532075228</v>
      </c>
      <c r="W131" s="6">
        <f t="shared" si="41"/>
        <v>-62.155113462999189</v>
      </c>
      <c r="X131" s="6">
        <f t="shared" si="42"/>
        <v>287.21633713207541</v>
      </c>
      <c r="Y131" s="6">
        <f t="shared" si="43"/>
        <v>161.57349108182072</v>
      </c>
    </row>
    <row r="132" ht="14.25">
      <c r="A132">
        <v>28</v>
      </c>
      <c r="B132">
        <f t="shared" si="25"/>
        <v>8.4000000000000004</v>
      </c>
      <c r="E132">
        <f t="shared" si="26"/>
        <v>0.44519999999999998</v>
      </c>
      <c r="F132">
        <f t="shared" si="27"/>
        <v>0.44519999999999998</v>
      </c>
      <c r="G132">
        <f t="shared" si="28"/>
        <v>228.83184207107308</v>
      </c>
      <c r="H132">
        <f t="shared" si="29"/>
        <v>228.83184207107308</v>
      </c>
      <c r="I132">
        <f t="shared" si="30"/>
        <v>-11.534739985689077</v>
      </c>
      <c r="J132">
        <f t="shared" si="31"/>
        <v>229.1223737922117</v>
      </c>
      <c r="K132" s="5">
        <f t="shared" si="32"/>
        <v>29.004721005892755</v>
      </c>
      <c r="N132" s="5">
        <f t="shared" si="33"/>
        <v>50.399999999999999</v>
      </c>
      <c r="O132" s="5">
        <f t="shared" si="34"/>
        <v>108.64236723138627</v>
      </c>
      <c r="P132" s="6">
        <f t="shared" si="35"/>
        <v>89.876782554565267</v>
      </c>
      <c r="Q132" s="6"/>
      <c r="R132" s="6">
        <f t="shared" si="36"/>
        <v>228.49831274034713</v>
      </c>
      <c r="S132" s="6">
        <f t="shared" si="37"/>
        <v>4.7634694753919593</v>
      </c>
      <c r="T132" s="6">
        <f t="shared" si="38"/>
        <v>4.7634694753919593</v>
      </c>
      <c r="U132" s="6">
        <f t="shared" si="39"/>
        <v>282.33423579587304</v>
      </c>
      <c r="V132" s="6">
        <f t="shared" si="40"/>
        <v>282.33423579587304</v>
      </c>
      <c r="W132" s="6">
        <f t="shared" si="41"/>
        <v>-60.312982491368103</v>
      </c>
      <c r="X132" s="6">
        <f t="shared" si="42"/>
        <v>288.70447963175724</v>
      </c>
      <c r="Y132" s="6">
        <f t="shared" si="43"/>
        <v>157.55707754830522</v>
      </c>
    </row>
    <row r="133" ht="14.25">
      <c r="A133">
        <v>27</v>
      </c>
      <c r="B133">
        <f t="shared" si="25"/>
        <v>8.0999999999999996</v>
      </c>
      <c r="E133">
        <f t="shared" si="26"/>
        <v>0.42929999999999996</v>
      </c>
      <c r="F133">
        <f t="shared" si="27"/>
        <v>0.42929999999999996</v>
      </c>
      <c r="G133">
        <f t="shared" si="28"/>
        <v>228.65214297128773</v>
      </c>
      <c r="H133">
        <f t="shared" si="29"/>
        <v>228.65214297128773</v>
      </c>
      <c r="I133">
        <f t="shared" si="30"/>
        <v>-11.550639985689077</v>
      </c>
      <c r="J133">
        <f t="shared" si="31"/>
        <v>228.94370436734269</v>
      </c>
      <c r="K133" s="5">
        <f t="shared" si="32"/>
        <v>29.004721005892755</v>
      </c>
      <c r="N133" s="5">
        <f t="shared" si="33"/>
        <v>48.600000000000001</v>
      </c>
      <c r="O133" s="5">
        <f t="shared" si="34"/>
        <v>105.7656608178948</v>
      </c>
      <c r="P133" s="6">
        <f t="shared" si="35"/>
        <v>93.244973010634908</v>
      </c>
      <c r="Q133" s="6"/>
      <c r="R133" s="6">
        <f t="shared" si="36"/>
        <v>228.3458473004321</v>
      </c>
      <c r="S133" s="6">
        <f t="shared" si="37"/>
        <v>4.94198356956365</v>
      </c>
      <c r="T133" s="6">
        <f t="shared" si="38"/>
        <v>4.94198356956365</v>
      </c>
      <c r="U133" s="6">
        <f t="shared" si="39"/>
        <v>284.19930633216228</v>
      </c>
      <c r="V133" s="6">
        <f t="shared" si="40"/>
        <v>284.19930633216228</v>
      </c>
      <c r="W133" s="6">
        <f t="shared" si="41"/>
        <v>-58.411329887692659</v>
      </c>
      <c r="X133" s="6">
        <f t="shared" si="42"/>
        <v>290.13984417678842</v>
      </c>
      <c r="Y133" s="6">
        <f t="shared" si="43"/>
        <v>153.3851742013461</v>
      </c>
    </row>
    <row r="134" ht="14.25">
      <c r="A134">
        <v>26</v>
      </c>
      <c r="B134">
        <f t="shared" si="25"/>
        <v>7.7999999999999998</v>
      </c>
      <c r="E134">
        <f t="shared" si="26"/>
        <v>0.41339999999999999</v>
      </c>
      <c r="F134">
        <f t="shared" si="27"/>
        <v>0.41339999999999999</v>
      </c>
      <c r="G134">
        <f t="shared" si="28"/>
        <v>228.47244387150241</v>
      </c>
      <c r="H134">
        <f t="shared" si="29"/>
        <v>228.47244387150241</v>
      </c>
      <c r="I134">
        <f t="shared" si="30"/>
        <v>-11.566539985689078</v>
      </c>
      <c r="J134">
        <f t="shared" si="31"/>
        <v>228.76503766060355</v>
      </c>
      <c r="K134" s="5">
        <f t="shared" si="32"/>
        <v>29.004721005892755</v>
      </c>
      <c r="N134" s="5">
        <f t="shared" si="33"/>
        <v>46.799999999999997</v>
      </c>
      <c r="O134" s="5">
        <f t="shared" si="34"/>
        <v>102.78457646641903</v>
      </c>
      <c r="P134" s="6">
        <f t="shared" si="35"/>
        <v>96.52114193594511</v>
      </c>
      <c r="Q134" s="6"/>
      <c r="R134" s="6">
        <f t="shared" si="36"/>
        <v>228.18784982980387</v>
      </c>
      <c r="S134" s="6">
        <f t="shared" si="37"/>
        <v>5.1156205226050906</v>
      </c>
      <c r="T134" s="6">
        <f t="shared" si="38"/>
        <v>5.1156205226050906</v>
      </c>
      <c r="U134" s="6">
        <f t="shared" si="39"/>
        <v>286.00372421694385</v>
      </c>
      <c r="V134" s="6">
        <f t="shared" si="40"/>
        <v>286.00372421694385</v>
      </c>
      <c r="W134" s="6">
        <f t="shared" si="41"/>
        <v>-56.452032353503398</v>
      </c>
      <c r="X134" s="6">
        <f t="shared" si="42"/>
        <v>291.521804026393</v>
      </c>
      <c r="Y134" s="6">
        <f t="shared" si="43"/>
        <v>149.0618982058667</v>
      </c>
    </row>
    <row r="135" ht="14.25">
      <c r="A135">
        <v>25</v>
      </c>
      <c r="B135">
        <f t="shared" si="25"/>
        <v>7.5</v>
      </c>
      <c r="E135">
        <f t="shared" si="26"/>
        <v>0.39749999999999996</v>
      </c>
      <c r="F135">
        <f t="shared" si="27"/>
        <v>0.39749999999999996</v>
      </c>
      <c r="G135">
        <f t="shared" si="28"/>
        <v>228.29274477171705</v>
      </c>
      <c r="H135">
        <f t="shared" si="29"/>
        <v>228.29274477171705</v>
      </c>
      <c r="I135">
        <f t="shared" si="30"/>
        <v>-11.582439985689078</v>
      </c>
      <c r="J135">
        <f t="shared" si="31"/>
        <v>228.58637367836786</v>
      </c>
      <c r="K135" s="5">
        <f t="shared" si="32"/>
        <v>29.004721005892755</v>
      </c>
      <c r="N135" s="5">
        <f t="shared" si="33"/>
        <v>45</v>
      </c>
      <c r="O135" s="5">
        <f t="shared" si="34"/>
        <v>99.702056147303196</v>
      </c>
      <c r="P135" s="6">
        <f t="shared" si="35"/>
        <v>99.70205614730321</v>
      </c>
      <c r="Q135" s="6"/>
      <c r="R135" s="6">
        <f t="shared" si="36"/>
        <v>228.02447625289074</v>
      </c>
      <c r="S135" s="6">
        <f t="shared" si="37"/>
        <v>5.2842089758070703</v>
      </c>
      <c r="T135" s="6">
        <f t="shared" si="38"/>
        <v>5.2842089758070703</v>
      </c>
      <c r="U135" s="6">
        <f t="shared" si="39"/>
        <v>287.74570870761551</v>
      </c>
      <c r="V135" s="6">
        <f t="shared" si="40"/>
        <v>287.74570870761551</v>
      </c>
      <c r="W135" s="6">
        <f t="shared" si="41"/>
        <v>-54.437023478917681</v>
      </c>
      <c r="X135" s="6">
        <f t="shared" si="42"/>
        <v>292.84976080729882</v>
      </c>
      <c r="Y135" s="6">
        <f t="shared" si="43"/>
        <v>144.59151611331922</v>
      </c>
    </row>
    <row r="136" ht="14.25">
      <c r="A136">
        <v>24</v>
      </c>
      <c r="B136">
        <f t="shared" si="25"/>
        <v>7.2000000000000002</v>
      </c>
      <c r="E136">
        <f t="shared" si="26"/>
        <v>0.38159999999999999</v>
      </c>
      <c r="F136">
        <f t="shared" si="27"/>
        <v>0.38159999999999999</v>
      </c>
      <c r="G136">
        <f t="shared" si="28"/>
        <v>228.11304567193173</v>
      </c>
      <c r="H136">
        <f t="shared" si="29"/>
        <v>228.11304567193173</v>
      </c>
      <c r="I136">
        <f t="shared" si="30"/>
        <v>-11.598339985689076</v>
      </c>
      <c r="J136">
        <f t="shared" si="31"/>
        <v>228.40771242702914</v>
      </c>
      <c r="K136" s="5">
        <f t="shared" si="32"/>
        <v>29.004721005892755</v>
      </c>
      <c r="N136" s="5">
        <f t="shared" si="33"/>
        <v>43.200000000000003</v>
      </c>
      <c r="O136" s="5">
        <f t="shared" si="34"/>
        <v>96.52114193594511</v>
      </c>
      <c r="P136" s="6">
        <f t="shared" si="35"/>
        <v>102.78457646641903</v>
      </c>
      <c r="Q136" s="6"/>
      <c r="R136" s="6">
        <f t="shared" si="36"/>
        <v>227.85588779968876</v>
      </c>
      <c r="S136" s="6">
        <f t="shared" si="37"/>
        <v>5.447582552720208</v>
      </c>
      <c r="T136" s="6">
        <f t="shared" si="38"/>
        <v>5.447582552720208</v>
      </c>
      <c r="U136" s="6">
        <f t="shared" si="39"/>
        <v>289.42354067579726</v>
      </c>
      <c r="V136" s="6">
        <f t="shared" si="40"/>
        <v>289.42354067579726</v>
      </c>
      <c r="W136" s="6">
        <f t="shared" si="41"/>
        <v>-52.368291834419772</v>
      </c>
      <c r="X136" s="6">
        <f t="shared" si="42"/>
        <v>294.12314408589106</v>
      </c>
      <c r="Y136" s="6">
        <f t="shared" si="43"/>
        <v>139.97843965111318</v>
      </c>
    </row>
    <row r="137" ht="14.25">
      <c r="A137">
        <v>23</v>
      </c>
      <c r="B137">
        <f t="shared" si="25"/>
        <v>6.9000000000000004</v>
      </c>
      <c r="E137">
        <f t="shared" si="26"/>
        <v>0.36570000000000003</v>
      </c>
      <c r="F137">
        <f t="shared" si="27"/>
        <v>0.36570000000000003</v>
      </c>
      <c r="G137">
        <f t="shared" si="28"/>
        <v>227.93334657214641</v>
      </c>
      <c r="H137">
        <f t="shared" si="29"/>
        <v>227.93334657214641</v>
      </c>
      <c r="I137">
        <f t="shared" si="30"/>
        <v>-11.614239985689077</v>
      </c>
      <c r="J137">
        <f t="shared" si="31"/>
        <v>228.22905391300071</v>
      </c>
      <c r="K137" s="5">
        <f t="shared" si="32"/>
        <v>29.004721005892755</v>
      </c>
      <c r="N137" s="5">
        <f t="shared" si="33"/>
        <v>41.399999999999999</v>
      </c>
      <c r="O137" s="5">
        <f t="shared" si="34"/>
        <v>93.244973010634908</v>
      </c>
      <c r="P137" s="6">
        <f t="shared" si="35"/>
        <v>105.7656608178948</v>
      </c>
      <c r="Q137" s="6"/>
      <c r="R137" s="6">
        <f t="shared" si="36"/>
        <v>227.68225084664732</v>
      </c>
      <c r="S137" s="6">
        <f t="shared" si="37"/>
        <v>5.6055800233484243</v>
      </c>
      <c r="T137" s="6">
        <f t="shared" si="38"/>
        <v>5.6055800233484243</v>
      </c>
      <c r="U137" s="6">
        <f t="shared" si="39"/>
        <v>291.03556430390364</v>
      </c>
      <c r="V137" s="6">
        <f t="shared" si="40"/>
        <v>291.03556430390364</v>
      </c>
      <c r="W137" s="6">
        <f t="shared" si="41"/>
        <v>-50.247879008381773</v>
      </c>
      <c r="X137" s="6">
        <f t="shared" si="42"/>
        <v>295.34141097132414</v>
      </c>
      <c r="Y137" s="6">
        <f t="shared" si="43"/>
        <v>135.22722136877329</v>
      </c>
    </row>
    <row r="138" ht="14.25">
      <c r="A138">
        <v>22</v>
      </c>
      <c r="B138">
        <f t="shared" si="25"/>
        <v>6.5999999999999996</v>
      </c>
      <c r="E138">
        <f t="shared" si="26"/>
        <v>0.34979999999999994</v>
      </c>
      <c r="F138">
        <f t="shared" si="27"/>
        <v>0.34979999999999994</v>
      </c>
      <c r="G138">
        <f t="shared" si="28"/>
        <v>227.75364747236105</v>
      </c>
      <c r="H138">
        <f t="shared" si="29"/>
        <v>227.75364747236105</v>
      </c>
      <c r="I138">
        <f t="shared" si="30"/>
        <v>-11.630139985689077</v>
      </c>
      <c r="J138">
        <f t="shared" si="31"/>
        <v>228.05039814271592</v>
      </c>
      <c r="K138" s="5">
        <f t="shared" si="32"/>
        <v>29.004721005892755</v>
      </c>
      <c r="N138" s="5">
        <f t="shared" si="33"/>
        <v>39.600000000000001</v>
      </c>
      <c r="O138" s="5">
        <f t="shared" si="34"/>
        <v>89.876782554565239</v>
      </c>
      <c r="P138" s="6">
        <f t="shared" si="35"/>
        <v>108.64236723138629</v>
      </c>
      <c r="Q138" s="6"/>
      <c r="R138" s="6">
        <f t="shared" si="36"/>
        <v>227.50373675247562</v>
      </c>
      <c r="S138" s="6">
        <f t="shared" si="37"/>
        <v>5.758045463263473</v>
      </c>
      <c r="T138" s="6">
        <f t="shared" si="38"/>
        <v>5.758045463263473</v>
      </c>
      <c r="U138" s="6">
        <f t="shared" si="39"/>
        <v>292.58018871923571</v>
      </c>
      <c r="V138" s="6">
        <f t="shared" si="40"/>
        <v>292.58018871923571</v>
      </c>
      <c r="W138" s="6">
        <f t="shared" si="41"/>
        <v>-48.07787759226246</v>
      </c>
      <c r="X138" s="6">
        <f t="shared" si="42"/>
        <v>296.50404574771011</v>
      </c>
      <c r="Y138" s="6">
        <f t="shared" si="43"/>
        <v>130.34255014512271</v>
      </c>
    </row>
    <row r="139" ht="14.25">
      <c r="A139">
        <v>21</v>
      </c>
      <c r="B139">
        <f t="shared" si="25"/>
        <v>6.2999999999999998</v>
      </c>
      <c r="E139">
        <f t="shared" si="26"/>
        <v>0.33389999999999997</v>
      </c>
      <c r="F139">
        <f t="shared" si="27"/>
        <v>0.33389999999999997</v>
      </c>
      <c r="G139">
        <f t="shared" si="28"/>
        <v>227.57394837257573</v>
      </c>
      <c r="H139">
        <f t="shared" si="29"/>
        <v>227.57394837257573</v>
      </c>
      <c r="I139">
        <f t="shared" si="30"/>
        <v>-11.646039985689077</v>
      </c>
      <c r="J139">
        <f t="shared" si="31"/>
        <v>227.8717451226282</v>
      </c>
      <c r="K139" s="5">
        <f t="shared" si="32"/>
        <v>29.004721005892755</v>
      </c>
      <c r="N139" s="5">
        <f t="shared" si="33"/>
        <v>37.799999999999997</v>
      </c>
      <c r="O139" s="5">
        <f t="shared" si="34"/>
        <v>86.419894565069669</v>
      </c>
      <c r="P139" s="6">
        <f t="shared" si="35"/>
        <v>111.41185674497235</v>
      </c>
      <c r="Q139" s="6"/>
      <c r="R139" s="6">
        <f t="shared" si="36"/>
        <v>227.32052168903235</v>
      </c>
      <c r="S139" s="6">
        <f t="shared" si="37"/>
        <v>5.9048284074835342</v>
      </c>
      <c r="T139" s="6">
        <f t="shared" si="38"/>
        <v>5.9048284074835342</v>
      </c>
      <c r="U139" s="6">
        <f t="shared" si="39"/>
        <v>294.0558895639802</v>
      </c>
      <c r="V139" s="6">
        <f t="shared" si="40"/>
        <v>294.0558895639802</v>
      </c>
      <c r="W139" s="6">
        <f t="shared" si="41"/>
        <v>-45.860429115472073</v>
      </c>
      <c r="X139" s="6">
        <f t="shared" si="42"/>
        <v>297.61055953362768</v>
      </c>
      <c r="Y139" s="6">
        <f t="shared" si="43"/>
        <v>125.32924656092567</v>
      </c>
    </row>
    <row r="140" ht="14.25">
      <c r="A140">
        <v>20</v>
      </c>
      <c r="B140">
        <f t="shared" si="25"/>
        <v>6</v>
      </c>
      <c r="E140">
        <f t="shared" si="26"/>
        <v>0.318</v>
      </c>
      <c r="F140">
        <f t="shared" si="27"/>
        <v>0.318</v>
      </c>
      <c r="G140">
        <f t="shared" si="28"/>
        <v>227.39424927279038</v>
      </c>
      <c r="H140">
        <f t="shared" si="29"/>
        <v>227.39424927279038</v>
      </c>
      <c r="I140">
        <f t="shared" si="30"/>
        <v>-11.661939985689077</v>
      </c>
      <c r="J140">
        <f t="shared" si="31"/>
        <v>227.69309485921119</v>
      </c>
      <c r="K140" s="5">
        <f t="shared" si="32"/>
        <v>29.004721005892755</v>
      </c>
      <c r="N140" s="5">
        <f t="shared" si="33"/>
        <v>36</v>
      </c>
      <c r="O140" s="5">
        <f t="shared" si="34"/>
        <v>82.877720573238719</v>
      </c>
      <c r="P140" s="6">
        <f t="shared" si="35"/>
        <v>114.07139620686759</v>
      </c>
      <c r="Q140" s="6"/>
      <c r="R140" s="6">
        <f t="shared" si="36"/>
        <v>227.13278646746531</v>
      </c>
      <c r="S140" s="6">
        <f t="shared" si="37"/>
        <v>6.0457839989639819</v>
      </c>
      <c r="T140" s="6">
        <f t="shared" si="38"/>
        <v>6.0457839989639819</v>
      </c>
      <c r="U140" s="6">
        <f t="shared" si="39"/>
        <v>295.46121049956702</v>
      </c>
      <c r="V140" s="6">
        <f t="shared" si="40"/>
        <v>295.46121049956702</v>
      </c>
      <c r="W140" s="6">
        <f t="shared" si="41"/>
        <v>-43.59772193194145</v>
      </c>
      <c r="X140" s="6">
        <f t="shared" si="42"/>
        <v>298.66048996732786</v>
      </c>
      <c r="Y140" s="6">
        <f t="shared" si="43"/>
        <v>120.19225814155637</v>
      </c>
    </row>
    <row r="141" ht="14.25">
      <c r="A141">
        <v>19</v>
      </c>
      <c r="B141">
        <f t="shared" si="25"/>
        <v>5.7000000000000002</v>
      </c>
      <c r="E141">
        <f t="shared" si="26"/>
        <v>0.30209999999999998</v>
      </c>
      <c r="F141">
        <f t="shared" si="27"/>
        <v>0.30209999999999998</v>
      </c>
      <c r="G141">
        <f t="shared" si="28"/>
        <v>227.21455017300505</v>
      </c>
      <c r="H141">
        <f t="shared" si="29"/>
        <v>227.21455017300505</v>
      </c>
      <c r="I141">
        <f t="shared" si="30"/>
        <v>-11.677839985689078</v>
      </c>
      <c r="J141">
        <f t="shared" si="31"/>
        <v>227.51444735895868</v>
      </c>
      <c r="K141" s="5">
        <f t="shared" si="32"/>
        <v>29.004721005892755</v>
      </c>
      <c r="N141" s="5">
        <f t="shared" si="33"/>
        <v>34.200000000000003</v>
      </c>
      <c r="O141" s="5">
        <f t="shared" si="34"/>
        <v>79.253756277150416</v>
      </c>
      <c r="P141" s="6">
        <f t="shared" si="35"/>
        <v>116.61836097271322</v>
      </c>
      <c r="Q141" s="6"/>
      <c r="R141" s="6">
        <f t="shared" si="36"/>
        <v>226.94071635977264</v>
      </c>
      <c r="S141" s="6">
        <f t="shared" si="37"/>
        <v>6.1807731315538001</v>
      </c>
      <c r="T141" s="6">
        <f t="shared" si="38"/>
        <v>6.1807731315538001</v>
      </c>
      <c r="U141" s="6">
        <f t="shared" si="39"/>
        <v>296.7947646438991</v>
      </c>
      <c r="V141" s="6">
        <f t="shared" si="40"/>
        <v>296.7947646438991</v>
      </c>
      <c r="W141" s="6">
        <f t="shared" si="41"/>
        <v>-41.291989060480745</v>
      </c>
      <c r="X141" s="6">
        <f t="shared" si="42"/>
        <v>299.65340091612234</v>
      </c>
      <c r="Y141" s="6">
        <f t="shared" si="43"/>
        <v>114.93665447438848</v>
      </c>
    </row>
    <row r="142" ht="14.25">
      <c r="A142">
        <v>18</v>
      </c>
      <c r="B142">
        <f t="shared" si="25"/>
        <v>5.4000000000000004</v>
      </c>
      <c r="E142">
        <f t="shared" si="26"/>
        <v>0.28620000000000001</v>
      </c>
      <c r="F142">
        <f t="shared" si="27"/>
        <v>0.28620000000000001</v>
      </c>
      <c r="G142">
        <f t="shared" si="28"/>
        <v>227.03485107321973</v>
      </c>
      <c r="H142">
        <f t="shared" si="29"/>
        <v>227.03485107321973</v>
      </c>
      <c r="I142">
        <f t="shared" si="30"/>
        <v>-11.693739985689078</v>
      </c>
      <c r="J142">
        <f t="shared" si="31"/>
        <v>227.33580262838487</v>
      </c>
      <c r="K142" s="5">
        <f t="shared" si="32"/>
        <v>29.004721005892755</v>
      </c>
      <c r="N142" s="5">
        <f t="shared" si="33"/>
        <v>32.399999999999999</v>
      </c>
      <c r="O142" s="5">
        <f t="shared" si="34"/>
        <v>75.551578092038525</v>
      </c>
      <c r="P142" s="6">
        <f t="shared" si="35"/>
        <v>119.05023749578413</v>
      </c>
      <c r="Q142" s="6"/>
      <c r="R142" s="6">
        <f t="shared" si="36"/>
        <v>226.74450091596171</v>
      </c>
      <c r="S142" s="6">
        <f t="shared" si="37"/>
        <v>6.3096625872765584</v>
      </c>
      <c r="T142" s="6">
        <f t="shared" si="38"/>
        <v>6.3096625872765584</v>
      </c>
      <c r="U142" s="6">
        <f t="shared" si="39"/>
        <v>298.05523594003796</v>
      </c>
      <c r="V142" s="6">
        <f t="shared" si="40"/>
        <v>298.05523594003796</v>
      </c>
      <c r="W142" s="6">
        <f t="shared" si="41"/>
        <v>-38.945505981059604</v>
      </c>
      <c r="X142" s="6">
        <f t="shared" si="42"/>
        <v>300.58888220856147</v>
      </c>
      <c r="Y142" s="6">
        <f t="shared" si="43"/>
        <v>109.56762220572483</v>
      </c>
    </row>
    <row r="143" ht="14.25">
      <c r="A143">
        <v>17</v>
      </c>
      <c r="B143">
        <f t="shared" si="25"/>
        <v>5.0999999999999996</v>
      </c>
      <c r="E143">
        <f t="shared" si="26"/>
        <v>0.27029999999999998</v>
      </c>
      <c r="F143">
        <f t="shared" si="27"/>
        <v>0.27029999999999998</v>
      </c>
      <c r="G143">
        <f t="shared" si="28"/>
        <v>226.85515197343437</v>
      </c>
      <c r="H143">
        <f t="shared" si="29"/>
        <v>226.85515197343437</v>
      </c>
      <c r="I143">
        <f t="shared" si="30"/>
        <v>-11.709639985689076</v>
      </c>
      <c r="J143">
        <f t="shared" si="31"/>
        <v>227.15716067402423</v>
      </c>
      <c r="K143" s="5">
        <f t="shared" si="32"/>
        <v>29.004721005892755</v>
      </c>
      <c r="N143" s="5">
        <f t="shared" si="33"/>
        <v>30.600000000000001</v>
      </c>
      <c r="O143" s="5">
        <f t="shared" si="34"/>
        <v>71.774839620802354</v>
      </c>
      <c r="P143" s="6">
        <f t="shared" si="35"/>
        <v>121.36462580755605</v>
      </c>
      <c r="Q143" s="6"/>
      <c r="R143" s="6">
        <f t="shared" si="36"/>
        <v>226.54433377698618</v>
      </c>
      <c r="S143" s="6">
        <f t="shared" si="37"/>
        <v>6.4323251678004709</v>
      </c>
      <c r="T143" s="6">
        <f t="shared" si="38"/>
        <v>6.4323251678004709</v>
      </c>
      <c r="U143" s="6">
        <f t="shared" si="39"/>
        <v>299.24138045499285</v>
      </c>
      <c r="V143" s="6">
        <f t="shared" si="40"/>
        <v>299.24138045499285</v>
      </c>
      <c r="W143" s="6">
        <f t="shared" si="41"/>
        <v>-36.56058838918306</v>
      </c>
      <c r="X143" s="6">
        <f t="shared" si="42"/>
        <v>301.46654938810877</v>
      </c>
      <c r="Y143" s="6">
        <f t="shared" si="43"/>
        <v>104.09045992220348</v>
      </c>
    </row>
    <row r="144" ht="14.25">
      <c r="A144">
        <v>16</v>
      </c>
      <c r="B144">
        <f t="shared" si="25"/>
        <v>4.7999999999999998</v>
      </c>
      <c r="E144">
        <f t="shared" si="26"/>
        <v>0.25439999999999996</v>
      </c>
      <c r="F144">
        <f t="shared" si="27"/>
        <v>0.25439999999999996</v>
      </c>
      <c r="G144">
        <f t="shared" si="28"/>
        <v>226.67545287364905</v>
      </c>
      <c r="H144">
        <f t="shared" si="29"/>
        <v>226.67545287364905</v>
      </c>
      <c r="I144">
        <f t="shared" si="30"/>
        <v>-11.725539985689077</v>
      </c>
      <c r="J144">
        <f t="shared" si="31"/>
        <v>226.97852150243179</v>
      </c>
      <c r="K144" s="5">
        <f t="shared" si="32"/>
        <v>29.004721005892755</v>
      </c>
      <c r="N144" s="5">
        <f t="shared" si="33"/>
        <v>28.800000000000001</v>
      </c>
      <c r="O144" s="5">
        <f t="shared" si="34"/>
        <v>67.927268048341858</v>
      </c>
      <c r="P144" s="6">
        <f t="shared" si="35"/>
        <v>123.55924188618476</v>
      </c>
      <c r="Q144" s="6"/>
      <c r="R144" s="6">
        <f t="shared" si="36"/>
        <v>226.34041248364579</v>
      </c>
      <c r="S144" s="6">
        <f t="shared" si="37"/>
        <v>6.548639819967792</v>
      </c>
      <c r="T144" s="6">
        <f t="shared" si="38"/>
        <v>6.548639819967792</v>
      </c>
      <c r="U144" s="6">
        <f t="shared" si="39"/>
        <v>300.3520276073325</v>
      </c>
      <c r="V144" s="6">
        <f t="shared" si="40"/>
        <v>300.3520276073325</v>
      </c>
      <c r="W144" s="6">
        <f t="shared" si="41"/>
        <v>-34.139589910579744</v>
      </c>
      <c r="X144" s="6">
        <f t="shared" si="42"/>
        <v>302.2860434871223</v>
      </c>
      <c r="Y144" s="6">
        <f t="shared" si="43"/>
        <v>98.510572921732447</v>
      </c>
    </row>
    <row r="145" ht="14.25">
      <c r="A145">
        <v>15</v>
      </c>
      <c r="B145">
        <f t="shared" si="25"/>
        <v>4.5</v>
      </c>
      <c r="E145">
        <f t="shared" si="26"/>
        <v>0.23849999999999999</v>
      </c>
      <c r="F145">
        <f t="shared" si="27"/>
        <v>0.23849999999999999</v>
      </c>
      <c r="G145">
        <f t="shared" si="28"/>
        <v>226.4957537738637</v>
      </c>
      <c r="H145">
        <f t="shared" si="29"/>
        <v>226.4957537738637</v>
      </c>
      <c r="I145">
        <f t="shared" si="30"/>
        <v>-11.741439985689077</v>
      </c>
      <c r="J145">
        <f t="shared" si="31"/>
        <v>226.79988512018306</v>
      </c>
      <c r="K145" s="5">
        <f t="shared" si="32"/>
        <v>29.004721005892755</v>
      </c>
      <c r="N145" s="5">
        <f t="shared" si="33"/>
        <v>27</v>
      </c>
      <c r="O145" s="5">
        <f t="shared" si="34"/>
        <v>64.012660463276092</v>
      </c>
      <c r="P145" s="6">
        <f t="shared" si="35"/>
        <v>125.63191991055987</v>
      </c>
      <c r="Q145" s="6"/>
      <c r="R145" s="6">
        <f t="shared" si="36"/>
        <v>226.13293828163728</v>
      </c>
      <c r="S145" s="6">
        <f t="shared" si="37"/>
        <v>6.6584917552596732</v>
      </c>
      <c r="T145" s="6">
        <f t="shared" si="38"/>
        <v>6.6584917552596732</v>
      </c>
      <c r="U145" s="6">
        <f t="shared" si="39"/>
        <v>301.38608132240745</v>
      </c>
      <c r="V145" s="6">
        <f t="shared" si="40"/>
        <v>301.38608132240745</v>
      </c>
      <c r="W145" s="6">
        <f t="shared" si="41"/>
        <v>-31.6848997784573</v>
      </c>
      <c r="X145" s="6">
        <f t="shared" si="42"/>
        <v>303.04703082004892</v>
      </c>
      <c r="Y145" s="6">
        <f t="shared" si="43"/>
        <v>92.833467879113243</v>
      </c>
    </row>
    <row r="146" ht="14.25">
      <c r="A146">
        <v>14</v>
      </c>
      <c r="B146">
        <f t="shared" si="25"/>
        <v>4.2000000000000002</v>
      </c>
      <c r="E146">
        <f t="shared" si="26"/>
        <v>0.22259999999999999</v>
      </c>
      <c r="F146">
        <f t="shared" si="27"/>
        <v>0.22259999999999999</v>
      </c>
      <c r="G146">
        <f t="shared" si="28"/>
        <v>226.31605467407837</v>
      </c>
      <c r="H146">
        <f t="shared" si="29"/>
        <v>226.31605467407837</v>
      </c>
      <c r="I146">
        <f t="shared" si="30"/>
        <v>-11.757339985689077</v>
      </c>
      <c r="J146">
        <f t="shared" si="31"/>
        <v>226.62125153387427</v>
      </c>
      <c r="K146" s="5">
        <f t="shared" si="32"/>
        <v>29.004721005892755</v>
      </c>
      <c r="N146" s="5">
        <f t="shared" si="33"/>
        <v>25.199999999999999</v>
      </c>
      <c r="O146" s="5">
        <f t="shared" si="34"/>
        <v>60.034880110675239</v>
      </c>
      <c r="P146" s="6">
        <f t="shared" si="35"/>
        <v>127.58061439770876</v>
      </c>
      <c r="Q146" s="6"/>
      <c r="R146" s="6">
        <f t="shared" si="36"/>
        <v>225.92211592294944</v>
      </c>
      <c r="S146" s="6">
        <f t="shared" si="37"/>
        <v>6.7617725630785639</v>
      </c>
      <c r="T146" s="6">
        <f t="shared" si="38"/>
        <v>6.7617725630785639</v>
      </c>
      <c r="U146" s="6">
        <f t="shared" si="39"/>
        <v>302.34252111404396</v>
      </c>
      <c r="V146" s="6">
        <f t="shared" si="40"/>
        <v>302.34252111404396</v>
      </c>
      <c r="W146" s="6">
        <f t="shared" si="41"/>
        <v>-29.198940475617846</v>
      </c>
      <c r="X146" s="6">
        <f t="shared" si="42"/>
        <v>303.74920279483007</v>
      </c>
      <c r="Y146" s="6">
        <f t="shared" si="43"/>
        <v>87.064747411617759</v>
      </c>
    </row>
    <row r="147" ht="14.25">
      <c r="A147">
        <v>13</v>
      </c>
      <c r="B147">
        <f t="shared" si="25"/>
        <v>3.8999999999999999</v>
      </c>
      <c r="E147">
        <f t="shared" si="26"/>
        <v>0.20669999999999999</v>
      </c>
      <c r="F147">
        <f t="shared" si="27"/>
        <v>0.20669999999999999</v>
      </c>
      <c r="G147">
        <f t="shared" si="28"/>
        <v>226.13635557429302</v>
      </c>
      <c r="H147">
        <f t="shared" si="29"/>
        <v>226.13635557429302</v>
      </c>
      <c r="I147">
        <f t="shared" si="30"/>
        <v>-11.773239985689077</v>
      </c>
      <c r="J147">
        <f t="shared" si="31"/>
        <v>226.44262075012227</v>
      </c>
      <c r="K147" s="5">
        <f t="shared" si="32"/>
        <v>29.004721005892755</v>
      </c>
      <c r="N147" s="5">
        <f t="shared" si="33"/>
        <v>23.399999999999999</v>
      </c>
      <c r="O147" s="5">
        <f t="shared" si="34"/>
        <v>55.99785257950407</v>
      </c>
      <c r="P147" s="6">
        <f t="shared" si="35"/>
        <v>129.40340222144135</v>
      </c>
      <c r="Q147" s="6"/>
      <c r="R147" s="6">
        <f t="shared" si="36"/>
        <v>225.70815346379737</v>
      </c>
      <c r="S147" s="6">
        <f t="shared" si="37"/>
        <v>6.8583803177363913</v>
      </c>
      <c r="T147" s="6">
        <f t="shared" si="38"/>
        <v>6.8583803177363913</v>
      </c>
      <c r="U147" s="6">
        <f t="shared" si="39"/>
        <v>303.22040309163998</v>
      </c>
      <c r="V147" s="6">
        <f t="shared" si="40"/>
        <v>303.22040309163998</v>
      </c>
      <c r="W147" s="6">
        <f t="shared" si="41"/>
        <v>-26.684165343759759</v>
      </c>
      <c r="X147" s="6">
        <f t="shared" si="42"/>
        <v>304.39227574159918</v>
      </c>
      <c r="Y147" s="6">
        <f t="shared" si="43"/>
        <v>81.210104549881379</v>
      </c>
    </row>
    <row r="148" ht="14.25">
      <c r="A148">
        <v>12</v>
      </c>
      <c r="B148">
        <f t="shared" si="25"/>
        <v>3.6000000000000001</v>
      </c>
      <c r="E148">
        <f t="shared" si="26"/>
        <v>0.1908</v>
      </c>
      <c r="F148">
        <f t="shared" si="27"/>
        <v>0.1908</v>
      </c>
      <c r="G148">
        <f t="shared" si="28"/>
        <v>225.9566564745077</v>
      </c>
      <c r="H148">
        <f t="shared" si="29"/>
        <v>225.9566564745077</v>
      </c>
      <c r="I148">
        <f t="shared" si="30"/>
        <v>-11.789139985689078</v>
      </c>
      <c r="J148">
        <f t="shared" si="31"/>
        <v>226.26399277556482</v>
      </c>
      <c r="K148" s="5">
        <f t="shared" si="32"/>
        <v>29.004721005892755</v>
      </c>
      <c r="N148" s="5">
        <f t="shared" si="33"/>
        <v>21.600000000000001</v>
      </c>
      <c r="O148" s="5">
        <f t="shared" si="34"/>
        <v>51.905561928539598</v>
      </c>
      <c r="P148" s="6">
        <f t="shared" si="35"/>
        <v>131.09848451024345</v>
      </c>
      <c r="Q148" s="6"/>
      <c r="R148" s="6">
        <f t="shared" si="36"/>
        <v>225.49126205929625</v>
      </c>
      <c r="S148" s="6">
        <f t="shared" si="37"/>
        <v>6.9482196790429027</v>
      </c>
      <c r="T148" s="6">
        <f t="shared" si="38"/>
        <v>6.9482196790429027</v>
      </c>
      <c r="U148" s="6">
        <f t="shared" si="39"/>
        <v>304.01886089167152</v>
      </c>
      <c r="V148" s="6">
        <f t="shared" si="40"/>
        <v>304.01886089167152</v>
      </c>
      <c r="W148" s="6">
        <f t="shared" si="41"/>
        <v>-24.143056162325706</v>
      </c>
      <c r="X148" s="6">
        <f t="shared" si="42"/>
        <v>304.97599075784103</v>
      </c>
      <c r="Y148" s="6">
        <f t="shared" si="43"/>
        <v>75.275317119568982</v>
      </c>
    </row>
    <row r="149" ht="14.25">
      <c r="A149">
        <v>11</v>
      </c>
      <c r="B149">
        <f t="shared" si="25"/>
        <v>3.2999999999999998</v>
      </c>
      <c r="E149">
        <f t="shared" si="26"/>
        <v>0.17489999999999997</v>
      </c>
      <c r="F149">
        <f t="shared" si="27"/>
        <v>0.17489999999999997</v>
      </c>
      <c r="G149">
        <f t="shared" si="28"/>
        <v>225.77695737472237</v>
      </c>
      <c r="H149">
        <f t="shared" si="29"/>
        <v>225.77695737472237</v>
      </c>
      <c r="I149">
        <f t="shared" si="30"/>
        <v>-11.805039985689078</v>
      </c>
      <c r="J149">
        <f t="shared" si="31"/>
        <v>226.08536761686042</v>
      </c>
      <c r="K149" s="5">
        <f t="shared" si="32"/>
        <v>29.004721005892755</v>
      </c>
      <c r="N149" s="5">
        <f t="shared" si="33"/>
        <v>19.800000000000001</v>
      </c>
      <c r="O149" s="5">
        <f t="shared" si="34"/>
        <v>47.762046754586081</v>
      </c>
      <c r="P149" s="6">
        <f t="shared" si="35"/>
        <v>132.66418842254578</v>
      </c>
      <c r="Q149" s="6"/>
      <c r="R149" s="6">
        <f t="shared" si="36"/>
        <v>225.27165575507672</v>
      </c>
      <c r="S149" s="6">
        <f t="shared" si="37"/>
        <v>7.031201986394926</v>
      </c>
      <c r="T149" s="6">
        <f t="shared" si="38"/>
        <v>7.031201986394926</v>
      </c>
      <c r="U149" s="6">
        <f t="shared" si="39"/>
        <v>304.73710653268904</v>
      </c>
      <c r="V149" s="6">
        <f t="shared" si="40"/>
        <v>304.73710653268904</v>
      </c>
      <c r="W149" s="6">
        <f t="shared" si="41"/>
        <v>-21.578120699285922</v>
      </c>
      <c r="X149" s="6">
        <f t="shared" si="42"/>
        <v>305.50011356925614</v>
      </c>
      <c r="Y149" s="6">
        <f t="shared" si="43"/>
        <v>69.266242039358744</v>
      </c>
    </row>
    <row r="150" ht="14.25">
      <c r="A150">
        <v>10</v>
      </c>
      <c r="B150">
        <f t="shared" si="25"/>
        <v>3</v>
      </c>
      <c r="E150">
        <f t="shared" si="26"/>
        <v>0.159</v>
      </c>
      <c r="F150">
        <f t="shared" si="27"/>
        <v>0.159</v>
      </c>
      <c r="G150">
        <f t="shared" si="28"/>
        <v>225.59725827493702</v>
      </c>
      <c r="H150">
        <f t="shared" si="29"/>
        <v>225.59725827493702</v>
      </c>
      <c r="I150">
        <f t="shared" si="30"/>
        <v>-11.820939985689076</v>
      </c>
      <c r="J150">
        <f t="shared" si="31"/>
        <v>225.90674528068854</v>
      </c>
      <c r="K150" s="5">
        <f t="shared" si="32"/>
        <v>29.004721005892755</v>
      </c>
      <c r="N150" s="5">
        <f t="shared" si="33"/>
        <v>18</v>
      </c>
      <c r="O150" s="5">
        <f t="shared" si="34"/>
        <v>43.571396206867583</v>
      </c>
      <c r="P150" s="6">
        <f t="shared" si="35"/>
        <v>134.09896879761664</v>
      </c>
      <c r="Q150" s="6"/>
      <c r="R150" s="6">
        <f t="shared" si="36"/>
        <v>225.04955127604765</v>
      </c>
      <c r="S150" s="6">
        <f t="shared" si="37"/>
        <v>7.1072453462736815</v>
      </c>
      <c r="T150" s="6">
        <f t="shared" si="38"/>
        <v>7.1072453462736815</v>
      </c>
      <c r="U150" s="6">
        <f t="shared" si="39"/>
        <v>305.37443119295961</v>
      </c>
      <c r="V150" s="6">
        <f t="shared" si="40"/>
        <v>305.37443119295961</v>
      </c>
      <c r="W150" s="6">
        <f t="shared" si="41"/>
        <v>-18.991890236274031</v>
      </c>
      <c r="X150" s="6">
        <f t="shared" si="42"/>
        <v>305.96443440565162</v>
      </c>
      <c r="Y150" s="6">
        <f t="shared" si="43"/>
        <v>63.188809540870409</v>
      </c>
    </row>
    <row r="151" ht="14.25">
      <c r="A151">
        <v>9</v>
      </c>
      <c r="B151">
        <f t="shared" si="25"/>
        <v>2.7000000000000002</v>
      </c>
      <c r="E151">
        <f t="shared" si="26"/>
        <v>0.1431</v>
      </c>
      <c r="F151">
        <f t="shared" si="27"/>
        <v>0.1431</v>
      </c>
      <c r="G151">
        <f t="shared" si="28"/>
        <v>225.41755917515169</v>
      </c>
      <c r="H151">
        <f t="shared" si="29"/>
        <v>225.41755917515169</v>
      </c>
      <c r="I151">
        <f t="shared" si="30"/>
        <v>-11.836839985689076</v>
      </c>
      <c r="J151">
        <f t="shared" si="31"/>
        <v>225.72812577374984</v>
      </c>
      <c r="K151" s="5">
        <f t="shared" si="32"/>
        <v>29.004721005892755</v>
      </c>
      <c r="N151" s="5">
        <f t="shared" si="33"/>
        <v>16.199999999999999</v>
      </c>
      <c r="O151" s="5">
        <f t="shared" si="34"/>
        <v>39.337745951531325</v>
      </c>
      <c r="P151" s="6">
        <f t="shared" si="35"/>
        <v>135.40140968044898</v>
      </c>
      <c r="Q151" s="6"/>
      <c r="R151" s="6">
        <f t="shared" si="36"/>
        <v>224.82516781251482</v>
      </c>
      <c r="S151" s="6">
        <f t="shared" si="37"/>
        <v>7.1762747130637958</v>
      </c>
      <c r="T151" s="6">
        <f t="shared" si="38"/>
        <v>7.1762747130637958</v>
      </c>
      <c r="U151" s="6">
        <f t="shared" si="39"/>
        <v>305.93020590998879</v>
      </c>
      <c r="V151" s="6">
        <f t="shared" si="40"/>
        <v>305.93020590998879</v>
      </c>
      <c r="W151" s="6">
        <f t="shared" si="41"/>
        <v>-16.38691707051764</v>
      </c>
      <c r="X151" s="6">
        <f t="shared" si="42"/>
        <v>306.3687678912525</v>
      </c>
      <c r="Y151" s="6">
        <f t="shared" si="43"/>
        <v>57.049017316242669</v>
      </c>
    </row>
    <row r="152" ht="14.25">
      <c r="A152">
        <v>8</v>
      </c>
      <c r="B152">
        <f t="shared" si="25"/>
        <v>2.3999999999999999</v>
      </c>
      <c r="E152">
        <f t="shared" si="26"/>
        <v>0.12719999999999998</v>
      </c>
      <c r="F152">
        <f t="shared" si="27"/>
        <v>0.12719999999999998</v>
      </c>
      <c r="G152">
        <f t="shared" si="28"/>
        <v>225.23786007536634</v>
      </c>
      <c r="H152">
        <f t="shared" si="29"/>
        <v>225.23786007536634</v>
      </c>
      <c r="I152">
        <f t="shared" si="30"/>
        <v>-11.852739985689077</v>
      </c>
      <c r="J152">
        <f t="shared" si="31"/>
        <v>225.54950910276585</v>
      </c>
      <c r="K152" s="5">
        <f t="shared" si="32"/>
        <v>29.004721005892755</v>
      </c>
      <c r="N152" s="5">
        <f t="shared" si="33"/>
        <v>14.4</v>
      </c>
      <c r="O152" s="5">
        <f t="shared" si="34"/>
        <v>35.065274090244529</v>
      </c>
      <c r="P152" s="6">
        <f t="shared" si="35"/>
        <v>136.57022571913697</v>
      </c>
      <c r="Q152" s="6"/>
      <c r="R152" s="6">
        <f t="shared" si="36"/>
        <v>224.59872680386661</v>
      </c>
      <c r="S152" s="6">
        <f t="shared" si="37"/>
        <v>7.2382219631142597</v>
      </c>
      <c r="T152" s="6">
        <f t="shared" si="38"/>
        <v>7.2382219631142597</v>
      </c>
      <c r="U152" s="6">
        <f t="shared" si="39"/>
        <v>306.4038822012302</v>
      </c>
      <c r="V152" s="6">
        <f t="shared" si="40"/>
        <v>306.4038822012302</v>
      </c>
      <c r="W152" s="6">
        <f t="shared" si="41"/>
        <v>-13.76577199602912</v>
      </c>
      <c r="X152" s="6">
        <f t="shared" si="42"/>
        <v>306.71295294889654</v>
      </c>
      <c r="Y152" s="6">
        <f t="shared" si="43"/>
        <v>50.852924599135122</v>
      </c>
    </row>
    <row r="153" ht="14.25">
      <c r="A153">
        <v>7</v>
      </c>
      <c r="B153">
        <f t="shared" si="25"/>
        <v>2.1000000000000001</v>
      </c>
      <c r="E153">
        <f t="shared" si="26"/>
        <v>0.1113</v>
      </c>
      <c r="F153">
        <f t="shared" si="27"/>
        <v>0.1113</v>
      </c>
      <c r="G153">
        <f t="shared" si="28"/>
        <v>225.05816097558102</v>
      </c>
      <c r="H153">
        <f t="shared" si="29"/>
        <v>225.05816097558102</v>
      </c>
      <c r="I153">
        <f t="shared" si="30"/>
        <v>-11.868639985689077</v>
      </c>
      <c r="J153">
        <f t="shared" si="31"/>
        <v>225.37089527447955</v>
      </c>
      <c r="K153" s="5">
        <f t="shared" si="32"/>
        <v>29.004721005892755</v>
      </c>
      <c r="N153" s="5">
        <f t="shared" si="33"/>
        <v>12.6</v>
      </c>
      <c r="O153" s="5">
        <f t="shared" si="34"/>
        <v>30.758197036912495</v>
      </c>
      <c r="P153" s="6">
        <f t="shared" si="35"/>
        <v>137.6042634333634</v>
      </c>
      <c r="Q153" s="6"/>
      <c r="R153" s="6">
        <f t="shared" si="36"/>
        <v>224.37045172004002</v>
      </c>
      <c r="S153" s="6">
        <f t="shared" si="37"/>
        <v>7.2930259619682598</v>
      </c>
      <c r="T153" s="6">
        <f t="shared" si="38"/>
        <v>7.2930259619682598</v>
      </c>
      <c r="U153" s="6">
        <f t="shared" si="39"/>
        <v>306.79499260537222</v>
      </c>
      <c r="V153" s="6">
        <f t="shared" si="40"/>
        <v>306.79499260537222</v>
      </c>
      <c r="W153" s="6">
        <f t="shared" si="41"/>
        <v>-11.131041766542305</v>
      </c>
      <c r="X153" s="6">
        <f t="shared" si="42"/>
        <v>306.99685271764417</v>
      </c>
      <c r="Y153" s="6">
        <f t="shared" si="43"/>
        <v>44.606646184996208</v>
      </c>
    </row>
    <row r="154" ht="14.25">
      <c r="A154">
        <v>6</v>
      </c>
      <c r="B154">
        <f t="shared" si="25"/>
        <v>1.8</v>
      </c>
      <c r="E154">
        <f t="shared" si="26"/>
        <v>0.095399999999999999</v>
      </c>
      <c r="F154">
        <f t="shared" si="27"/>
        <v>0.095399999999999999</v>
      </c>
      <c r="G154">
        <f t="shared" si="28"/>
        <v>224.87846187579569</v>
      </c>
      <c r="H154">
        <f t="shared" si="29"/>
        <v>224.87846187579569</v>
      </c>
      <c r="I154">
        <f t="shared" si="30"/>
        <v>-11.884539985689077</v>
      </c>
      <c r="J154">
        <f t="shared" si="31"/>
        <v>225.19228429565507</v>
      </c>
      <c r="K154" s="5">
        <f t="shared" si="32"/>
        <v>29.004721005892755</v>
      </c>
      <c r="N154" s="5">
        <f t="shared" si="33"/>
        <v>10.800000000000001</v>
      </c>
      <c r="O154" s="5">
        <f t="shared" si="34"/>
        <v>26.420765356587172</v>
      </c>
      <c r="P154" s="6">
        <f t="shared" si="35"/>
        <v>138.5025023527451</v>
      </c>
      <c r="Q154" s="6"/>
      <c r="R154" s="6">
        <f t="shared" si="36"/>
        <v>224.14056784098278</v>
      </c>
      <c r="S154" s="6">
        <f t="shared" si="37"/>
        <v>7.3406326246954903</v>
      </c>
      <c r="T154" s="6">
        <f t="shared" si="38"/>
        <v>7.3406326246954903</v>
      </c>
      <c r="U154" s="6">
        <f t="shared" si="39"/>
        <v>307.10315114366512</v>
      </c>
      <c r="V154" s="6">
        <f t="shared" si="40"/>
        <v>307.10315114366512</v>
      </c>
      <c r="W154" s="6">
        <f t="shared" si="41"/>
        <v>-8.4853265426988784</v>
      </c>
      <c r="X154" s="6">
        <f t="shared" si="42"/>
        <v>307.22035448339852</v>
      </c>
      <c r="Y154" s="6">
        <f t="shared" si="43"/>
        <v>38.316346396498375</v>
      </c>
    </row>
    <row r="155" ht="14.25">
      <c r="A155">
        <v>5</v>
      </c>
      <c r="B155">
        <f t="shared" si="25"/>
        <v>1.5</v>
      </c>
      <c r="E155">
        <f t="shared" si="26"/>
        <v>0.079500000000000001</v>
      </c>
      <c r="F155">
        <f t="shared" si="27"/>
        <v>0.079500000000000001</v>
      </c>
      <c r="G155">
        <f t="shared" si="28"/>
        <v>224.69876277601034</v>
      </c>
      <c r="H155">
        <f t="shared" si="29"/>
        <v>224.69876277601034</v>
      </c>
      <c r="I155">
        <f t="shared" si="30"/>
        <v>-11.900439985689077</v>
      </c>
      <c r="J155">
        <f t="shared" si="31"/>
        <v>225.0136761730779</v>
      </c>
      <c r="K155" s="5">
        <f t="shared" si="32"/>
        <v>29.004721005892755</v>
      </c>
      <c r="N155" s="5">
        <f t="shared" si="33"/>
        <v>9</v>
      </c>
      <c r="O155" s="5">
        <f t="shared" si="34"/>
        <v>22.057259570672553</v>
      </c>
      <c r="P155" s="6">
        <f t="shared" si="35"/>
        <v>139.26405602391443</v>
      </c>
      <c r="Q155" s="6"/>
      <c r="R155" s="6">
        <f t="shared" si="36"/>
        <v>223.9093020343293</v>
      </c>
      <c r="S155" s="6">
        <f t="shared" si="37"/>
        <v>7.3809949692674648</v>
      </c>
      <c r="T155" s="6">
        <f t="shared" si="38"/>
        <v>7.3809949692674648</v>
      </c>
      <c r="U155" s="6">
        <f t="shared" si="39"/>
        <v>307.32805370083611</v>
      </c>
      <c r="V155" s="6">
        <f t="shared" si="40"/>
        <v>307.32805370083611</v>
      </c>
      <c r="W155" s="6">
        <f t="shared" si="41"/>
        <v>-5.831237326003694</v>
      </c>
      <c r="X155" s="6">
        <f t="shared" si="42"/>
        <v>307.38336962219699</v>
      </c>
      <c r="Y155" s="6">
        <f t="shared" si="43"/>
        <v>31.988233000095764</v>
      </c>
    </row>
    <row r="156" ht="14.25">
      <c r="A156">
        <v>4</v>
      </c>
      <c r="B156">
        <f t="shared" si="25"/>
        <v>1.2</v>
      </c>
      <c r="E156">
        <f t="shared" si="26"/>
        <v>0.06359999999999999</v>
      </c>
      <c r="F156">
        <f t="shared" si="27"/>
        <v>0.06359999999999999</v>
      </c>
      <c r="G156">
        <f t="shared" si="28"/>
        <v>224.51906367622502</v>
      </c>
      <c r="H156">
        <f t="shared" si="29"/>
        <v>224.51906367622502</v>
      </c>
      <c r="I156">
        <f t="shared" si="30"/>
        <v>-11.916339985689078</v>
      </c>
      <c r="J156">
        <f t="shared" si="31"/>
        <v>224.835070913555</v>
      </c>
      <c r="K156" s="5">
        <f t="shared" si="32"/>
        <v>29.004721005892755</v>
      </c>
      <c r="N156" s="5">
        <f t="shared" si="33"/>
        <v>7.2000000000000002</v>
      </c>
      <c r="O156" s="5">
        <f t="shared" si="34"/>
        <v>17.671985932566901</v>
      </c>
      <c r="P156" s="6">
        <f t="shared" si="35"/>
        <v>139.88817288534139</v>
      </c>
      <c r="Q156" s="6"/>
      <c r="R156" s="6">
        <f t="shared" si="36"/>
        <v>223.6768825315097</v>
      </c>
      <c r="S156" s="6">
        <f t="shared" si="37"/>
        <v>7.4140731629230938</v>
      </c>
      <c r="T156" s="6">
        <f t="shared" si="38"/>
        <v>7.4140731629230938</v>
      </c>
      <c r="U156" s="6">
        <f t="shared" si="39"/>
        <v>307.46947832521408</v>
      </c>
      <c r="V156" s="6">
        <f t="shared" si="40"/>
        <v>307.46947832521408</v>
      </c>
      <c r="W156" s="6">
        <f t="shared" si="41"/>
        <v>-3.1713933820815612</v>
      </c>
      <c r="X156" s="6">
        <f t="shared" si="42"/>
        <v>307.48583355589443</v>
      </c>
      <c r="Y156" s="6">
        <f t="shared" si="43"/>
        <v>25.628551079708224</v>
      </c>
    </row>
    <row r="157" ht="14.25">
      <c r="A157">
        <v>3</v>
      </c>
      <c r="B157">
        <f t="shared" si="25"/>
        <v>0.90000000000000002</v>
      </c>
      <c r="E157">
        <f t="shared" si="26"/>
        <v>0.047699999999999999</v>
      </c>
      <c r="F157">
        <f t="shared" si="27"/>
        <v>0.047699999999999999</v>
      </c>
      <c r="G157">
        <f t="shared" si="28"/>
        <v>224.33936457643966</v>
      </c>
      <c r="H157">
        <f t="shared" si="29"/>
        <v>224.33936457643966</v>
      </c>
      <c r="I157">
        <f t="shared" si="30"/>
        <v>-11.932239985689076</v>
      </c>
      <c r="J157">
        <f t="shared" si="31"/>
        <v>224.65646852391495</v>
      </c>
      <c r="K157" s="5">
        <f t="shared" si="32"/>
        <v>29.004721005892755</v>
      </c>
      <c r="N157" s="5">
        <f t="shared" si="33"/>
        <v>5.4000000000000004</v>
      </c>
      <c r="O157" s="5">
        <f t="shared" si="34"/>
        <v>13.269272177910519</v>
      </c>
      <c r="P157" s="6">
        <f t="shared" si="35"/>
        <v>140.37423700903429</v>
      </c>
      <c r="Q157" s="6"/>
      <c r="R157" s="6">
        <f t="shared" si="36"/>
        <v>223.44353870251291</v>
      </c>
      <c r="S157" s="6">
        <f t="shared" si="37"/>
        <v>7.4398345614788175</v>
      </c>
      <c r="T157" s="6">
        <f t="shared" si="38"/>
        <v>7.4398345614788175</v>
      </c>
      <c r="U157" s="6">
        <f t="shared" si="39"/>
        <v>307.52728544776915</v>
      </c>
      <c r="V157" s="6">
        <f t="shared" si="40"/>
        <v>307.52728544776915</v>
      </c>
      <c r="W157" s="6">
        <f t="shared" si="41"/>
        <v>-0.50841965577827342</v>
      </c>
      <c r="X157" s="6">
        <f t="shared" si="42"/>
        <v>307.5277057200214</v>
      </c>
      <c r="Y157" s="6">
        <f t="shared" si="43"/>
        <v>19.243576873577478</v>
      </c>
    </row>
    <row r="158" ht="14.25">
      <c r="A158">
        <v>2</v>
      </c>
      <c r="B158">
        <f t="shared" si="25"/>
        <v>0.59999999999999998</v>
      </c>
      <c r="E158">
        <f t="shared" si="26"/>
        <v>0.031799999999999995</v>
      </c>
      <c r="F158">
        <f t="shared" si="27"/>
        <v>0.031799999999999995</v>
      </c>
      <c r="G158">
        <f t="shared" si="28"/>
        <v>224.15966547665434</v>
      </c>
      <c r="H158">
        <f t="shared" si="29"/>
        <v>224.15966547665434</v>
      </c>
      <c r="I158">
        <f t="shared" si="30"/>
        <v>-11.948139985689076</v>
      </c>
      <c r="J158">
        <f t="shared" si="31"/>
        <v>224.47786901100784</v>
      </c>
      <c r="K158" s="5">
        <f t="shared" si="32"/>
        <v>29.004721005892755</v>
      </c>
      <c r="N158" s="5">
        <f t="shared" si="33"/>
        <v>3.6000000000000001</v>
      </c>
      <c r="O158" s="5">
        <f t="shared" si="34"/>
        <v>8.8534632536331852</v>
      </c>
      <c r="P158" s="6">
        <f t="shared" si="35"/>
        <v>140.72176870838629</v>
      </c>
      <c r="Q158" s="6"/>
      <c r="R158" s="6">
        <f t="shared" si="36"/>
        <v>223.20950082952621</v>
      </c>
      <c r="S158" s="6">
        <f t="shared" si="37"/>
        <v>7.458253741544473</v>
      </c>
      <c r="T158" s="6">
        <f t="shared" si="38"/>
        <v>7.458253741544473</v>
      </c>
      <c r="U158" s="6">
        <f t="shared" si="39"/>
        <v>307.50141801985058</v>
      </c>
      <c r="V158" s="6">
        <f t="shared" si="40"/>
        <v>307.50141801985058</v>
      </c>
      <c r="W158" s="6">
        <f t="shared" si="41"/>
        <v>2.1550558193430174</v>
      </c>
      <c r="X158" s="6">
        <f t="shared" si="42"/>
        <v>307.50896954365959</v>
      </c>
      <c r="Y158" s="6">
        <f t="shared" si="43"/>
        <v>12.839611580377703</v>
      </c>
    </row>
    <row r="159" ht="14.25">
      <c r="A159">
        <v>1</v>
      </c>
      <c r="B159">
        <f t="shared" si="25"/>
        <v>0.29999999999999999</v>
      </c>
      <c r="E159">
        <f t="shared" si="26"/>
        <v>0.015899999999999997</v>
      </c>
      <c r="F159">
        <f t="shared" si="27"/>
        <v>0.015899999999999997</v>
      </c>
      <c r="G159">
        <f t="shared" si="28"/>
        <v>223.97996637686899</v>
      </c>
      <c r="H159">
        <f t="shared" si="29"/>
        <v>223.97996637686899</v>
      </c>
      <c r="I159">
        <f t="shared" si="30"/>
        <v>-11.964039985689077</v>
      </c>
      <c r="J159">
        <f t="shared" si="31"/>
        <v>224.29927238170552</v>
      </c>
      <c r="K159" s="5">
        <f t="shared" si="32"/>
        <v>29.004721005892755</v>
      </c>
      <c r="N159" s="5">
        <f t="shared" si="33"/>
        <v>1.8</v>
      </c>
      <c r="O159" s="5">
        <f t="shared" si="34"/>
        <v>4.4289170300160894</v>
      </c>
      <c r="P159" s="6">
        <f t="shared" si="35"/>
        <v>140.93042501156816</v>
      </c>
      <c r="Q159" s="6"/>
      <c r="R159" s="6">
        <f t="shared" si="36"/>
        <v>222.9749998796745</v>
      </c>
      <c r="S159" s="6">
        <f t="shared" si="37"/>
        <v>7.4693125256131125</v>
      </c>
      <c r="T159" s="6">
        <f t="shared" si="38"/>
        <v>7.4693125256131125</v>
      </c>
      <c r="U159" s="6">
        <f t="shared" si="39"/>
        <v>307.39190156948655</v>
      </c>
      <c r="V159" s="6">
        <f t="shared" si="40"/>
        <v>307.39190156948655</v>
      </c>
      <c r="W159" s="6">
        <f t="shared" si="41"/>
        <v>4.8164045145536596</v>
      </c>
      <c r="X159" s="6">
        <f t="shared" si="42"/>
        <v>307.42963244123479</v>
      </c>
      <c r="Y159" s="6">
        <f t="shared" si="43"/>
        <v>6.4229751406931905</v>
      </c>
    </row>
    <row r="160" ht="14.25">
      <c r="A160">
        <v>0</v>
      </c>
      <c r="B160">
        <f t="shared" si="25"/>
        <v>0</v>
      </c>
      <c r="E160">
        <f t="shared" si="26"/>
        <v>0</v>
      </c>
      <c r="F160">
        <f t="shared" si="27"/>
        <v>0</v>
      </c>
      <c r="G160">
        <f t="shared" si="28"/>
        <v>223.80026727708366</v>
      </c>
      <c r="H160">
        <f t="shared" si="29"/>
        <v>223.80026727708366</v>
      </c>
      <c r="I160">
        <f t="shared" si="30"/>
        <v>-11.979939985689077</v>
      </c>
      <c r="J160">
        <f t="shared" si="31"/>
        <v>224.12067864290165</v>
      </c>
      <c r="K160" s="5">
        <f t="shared" si="32"/>
        <v>29.004721005892755</v>
      </c>
      <c r="N160" s="5">
        <f t="shared" si="33"/>
        <v>0</v>
      </c>
      <c r="O160" s="5">
        <f t="shared" si="34"/>
        <v>0</v>
      </c>
      <c r="P160" s="6">
        <f t="shared" si="35"/>
        <v>141</v>
      </c>
      <c r="Q160" s="6"/>
      <c r="R160" s="6">
        <f t="shared" si="36"/>
        <v>222.74026727708366</v>
      </c>
      <c r="S160" s="6">
        <f t="shared" si="37"/>
        <v>7.4729999999999999</v>
      </c>
      <c r="T160" s="6">
        <f t="shared" si="38"/>
        <v>7.4729999999999999</v>
      </c>
      <c r="U160" s="6">
        <f t="shared" si="39"/>
        <v>307.19884417619164</v>
      </c>
      <c r="V160" s="6">
        <f t="shared" si="40"/>
        <v>307.19884417619164</v>
      </c>
      <c r="W160" s="6">
        <f t="shared" si="41"/>
        <v>7.4729999999999999</v>
      </c>
      <c r="X160" s="6">
        <f t="shared" si="42"/>
        <v>307.28972581618814</v>
      </c>
      <c r="Y160" s="6">
        <f t="shared" si="43"/>
        <v>0</v>
      </c>
    </row>
    <row r="161" ht="14.25">
      <c r="A161">
        <v>-1</v>
      </c>
      <c r="B161">
        <f t="shared" si="25"/>
        <v>-0.29999999999999999</v>
      </c>
      <c r="E161">
        <f t="shared" si="26"/>
        <v>-0.015899999999999997</v>
      </c>
      <c r="F161">
        <f t="shared" si="27"/>
        <v>-0.015899999999999997</v>
      </c>
      <c r="G161">
        <f t="shared" si="28"/>
        <v>223.62056817729834</v>
      </c>
      <c r="H161">
        <f t="shared" si="29"/>
        <v>223.62056817729834</v>
      </c>
      <c r="I161">
        <f t="shared" si="30"/>
        <v>-11.995839985689077</v>
      </c>
      <c r="J161">
        <f t="shared" si="31"/>
        <v>223.94208780151172</v>
      </c>
      <c r="K161" s="5">
        <f t="shared" si="32"/>
        <v>29.004721005892755</v>
      </c>
      <c r="N161" s="5">
        <f t="shared" si="33"/>
        <v>-1.8</v>
      </c>
      <c r="O161" s="5">
        <f t="shared" si="34"/>
        <v>-4.4289170300160894</v>
      </c>
      <c r="P161" s="6">
        <f t="shared" si="35"/>
        <v>140.93042501156816</v>
      </c>
      <c r="Q161" s="6"/>
      <c r="R161" s="6">
        <f t="shared" si="36"/>
        <v>222.50553467449282</v>
      </c>
      <c r="S161" s="6">
        <f t="shared" si="37"/>
        <v>7.4693125256131125</v>
      </c>
      <c r="T161" s="6">
        <f t="shared" si="38"/>
        <v>7.4693125256131125</v>
      </c>
      <c r="U161" s="6">
        <f t="shared" si="39"/>
        <v>306.92243636430487</v>
      </c>
      <c r="V161" s="6">
        <f t="shared" si="40"/>
        <v>306.92243636430487</v>
      </c>
      <c r="W161" s="6">
        <f t="shared" si="41"/>
        <v>10.122220536672565</v>
      </c>
      <c r="X161" s="6">
        <f t="shared" si="42"/>
        <v>307.08930507654253</v>
      </c>
      <c r="Y161" s="6">
        <f t="shared" si="43"/>
        <v>-6.4229751406931905</v>
      </c>
    </row>
    <row r="162" ht="14.25">
      <c r="A162">
        <v>-2</v>
      </c>
      <c r="B162">
        <f t="shared" si="25"/>
        <v>-0.59999999999999998</v>
      </c>
      <c r="E162">
        <f t="shared" si="26"/>
        <v>-0.031799999999999995</v>
      </c>
      <c r="F162">
        <f t="shared" si="27"/>
        <v>-0.031799999999999995</v>
      </c>
      <c r="G162">
        <f t="shared" si="28"/>
        <v>223.44086907751299</v>
      </c>
      <c r="H162">
        <f t="shared" si="29"/>
        <v>223.44086907751299</v>
      </c>
      <c r="I162">
        <f t="shared" si="30"/>
        <v>-12.011739985689077</v>
      </c>
      <c r="J162">
        <f t="shared" si="31"/>
        <v>223.7634998644732</v>
      </c>
      <c r="K162" s="5">
        <f t="shared" si="32"/>
        <v>29.004721005892755</v>
      </c>
      <c r="N162" s="5">
        <f t="shared" si="33"/>
        <v>-3.6000000000000001</v>
      </c>
      <c r="O162" s="5">
        <f t="shared" si="34"/>
        <v>-8.8534632536331852</v>
      </c>
      <c r="P162" s="6">
        <f t="shared" si="35"/>
        <v>140.72176870838629</v>
      </c>
      <c r="Q162" s="6"/>
      <c r="R162" s="6">
        <f t="shared" si="36"/>
        <v>222.27103372464111</v>
      </c>
      <c r="S162" s="6">
        <f t="shared" si="37"/>
        <v>7.458253741544473</v>
      </c>
      <c r="T162" s="6">
        <f t="shared" si="38"/>
        <v>7.458253741544473</v>
      </c>
      <c r="U162" s="6">
        <f t="shared" si="39"/>
        <v>306.56295091496543</v>
      </c>
      <c r="V162" s="6">
        <f t="shared" si="40"/>
        <v>306.56295091496543</v>
      </c>
      <c r="W162" s="6">
        <f t="shared" si="41"/>
        <v>12.761451663745929</v>
      </c>
      <c r="X162" s="6">
        <f t="shared" si="42"/>
        <v>306.82844966244187</v>
      </c>
      <c r="Y162" s="6">
        <f t="shared" si="43"/>
        <v>-12.839611580377703</v>
      </c>
    </row>
    <row r="163" ht="14.25">
      <c r="A163">
        <v>-3</v>
      </c>
      <c r="B163">
        <f t="shared" si="25"/>
        <v>-0.90000000000000002</v>
      </c>
      <c r="E163">
        <f t="shared" si="26"/>
        <v>-0.047699999999999999</v>
      </c>
      <c r="F163">
        <f t="shared" si="27"/>
        <v>-0.047699999999999999</v>
      </c>
      <c r="G163">
        <f t="shared" si="28"/>
        <v>223.26116997772766</v>
      </c>
      <c r="H163">
        <f t="shared" si="29"/>
        <v>223.26116997772766</v>
      </c>
      <c r="I163">
        <f t="shared" si="30"/>
        <v>-12.027639985689078</v>
      </c>
      <c r="J163">
        <f t="shared" si="31"/>
        <v>223.58491483874565</v>
      </c>
      <c r="K163" s="5">
        <f t="shared" si="32"/>
        <v>29.004721005892755</v>
      </c>
      <c r="N163" s="5">
        <f t="shared" si="33"/>
        <v>-5.4000000000000004</v>
      </c>
      <c r="O163" s="5">
        <f t="shared" si="34"/>
        <v>-13.269272177910519</v>
      </c>
      <c r="P163" s="6">
        <f t="shared" si="35"/>
        <v>140.37423700903429</v>
      </c>
      <c r="Q163" s="6"/>
      <c r="R163" s="6">
        <f t="shared" si="36"/>
        <v>222.03699585165441</v>
      </c>
      <c r="S163" s="6">
        <f t="shared" si="37"/>
        <v>7.4398345614788175</v>
      </c>
      <c r="T163" s="6">
        <f t="shared" si="38"/>
        <v>7.4398345614788175</v>
      </c>
      <c r="U163" s="6">
        <f t="shared" si="39"/>
        <v>306.12074259691065</v>
      </c>
      <c r="V163" s="6">
        <f t="shared" si="40"/>
        <v>306.12074259691065</v>
      </c>
      <c r="W163" s="6">
        <f t="shared" si="41"/>
        <v>15.388088778735909</v>
      </c>
      <c r="X163" s="6">
        <f t="shared" si="42"/>
        <v>306.50726308579749</v>
      </c>
      <c r="Y163" s="6">
        <f t="shared" si="43"/>
        <v>-19.243576873577478</v>
      </c>
    </row>
    <row r="164" ht="14.25">
      <c r="A164">
        <v>-4</v>
      </c>
      <c r="B164">
        <f t="shared" ref="B164:B227" si="44">$B$27*A164/100</f>
        <v>-1.2</v>
      </c>
      <c r="E164">
        <f t="shared" ref="E164:E227" si="45">B164*$B$7</f>
        <v>-0.06359999999999999</v>
      </c>
      <c r="F164">
        <f t="shared" ref="F164:F227" si="46">E164</f>
        <v>-0.06359999999999999</v>
      </c>
      <c r="G164">
        <f t="shared" ref="G164:G227" si="47">$D$60+B164*$B$8*$B$14</f>
        <v>223.08147087794231</v>
      </c>
      <c r="H164">
        <f t="shared" ref="H164:H227" si="48">G164</f>
        <v>223.08147087794231</v>
      </c>
      <c r="I164">
        <f t="shared" ref="I164:I227" si="49">E164-$B$26*$B$14*$B$9</f>
        <v>-12.043539985689076</v>
      </c>
      <c r="J164">
        <f t="shared" ref="J164:J227" si="50">SQRT(I164*I164+H164*H164)</f>
        <v>223.40633273131073</v>
      </c>
      <c r="K164" s="5">
        <f t="shared" ref="K164:K227" si="51">1.5*$B$13*($B$26*$B$6+$B$26*B164*($B$8-$B$9))</f>
        <v>29.004721005892755</v>
      </c>
      <c r="N164" s="5">
        <f t="shared" ref="N164:N227" si="52">180*A164/100</f>
        <v>-7.2000000000000002</v>
      </c>
      <c r="O164" s="5">
        <f t="shared" ref="O164:O227" si="53">$B$31*SIN(N164/180*PI())</f>
        <v>-17.671985932566901</v>
      </c>
      <c r="P164" s="6">
        <f t="shared" ref="P164:P227" si="54">$B$31*COS(N164/180*PI())</f>
        <v>139.88817288534139</v>
      </c>
      <c r="Q164" s="6"/>
      <c r="R164" s="6">
        <f t="shared" ref="R164:R227" si="55">$Q$60+O164*$B$7</f>
        <v>221.80365202265762</v>
      </c>
      <c r="S164" s="6">
        <f t="shared" ref="S164:S227" si="56">P164*$B$7</f>
        <v>7.4140731629230938</v>
      </c>
      <c r="T164" s="6">
        <f t="shared" ref="T164:T227" si="57">S164</f>
        <v>7.4140731629230938</v>
      </c>
      <c r="U164" s="6">
        <f t="shared" ref="U164:U227" si="58">R164+P164*$B$8*$B$14</f>
        <v>305.59624781636199</v>
      </c>
      <c r="V164" s="6">
        <f t="shared" ref="V164:V227" si="59">U164</f>
        <v>305.59624781636199</v>
      </c>
      <c r="W164" s="6">
        <f t="shared" ref="W164:W227" si="60">S164-O164*$B$14*$B$9</f>
        <v>17.999539707927749</v>
      </c>
      <c r="X164" s="6">
        <f t="shared" ref="X164:X227" si="61">SQRT(W164*W164+V164*V164)</f>
        <v>306.12587298223684</v>
      </c>
      <c r="Y164" s="6">
        <f t="shared" ref="Y164:Y227" si="62">1.5*$B$13*(O164*$B$6+O164*P164*($B$8-$B$9))</f>
        <v>-25.628551079708224</v>
      </c>
    </row>
    <row r="165" ht="14.25">
      <c r="A165">
        <v>-5</v>
      </c>
      <c r="B165">
        <f t="shared" si="44"/>
        <v>-1.5</v>
      </c>
      <c r="E165">
        <f t="shared" si="45"/>
        <v>-0.079500000000000001</v>
      </c>
      <c r="F165">
        <f t="shared" si="46"/>
        <v>-0.079500000000000001</v>
      </c>
      <c r="G165">
        <f t="shared" si="47"/>
        <v>222.90177177815698</v>
      </c>
      <c r="H165">
        <f t="shared" si="48"/>
        <v>222.90177177815698</v>
      </c>
      <c r="I165">
        <f t="shared" si="49"/>
        <v>-12.059439985689076</v>
      </c>
      <c r="J165">
        <f t="shared" si="50"/>
        <v>223.22775354917232</v>
      </c>
      <c r="K165" s="5">
        <f t="shared" si="51"/>
        <v>29.004721005892755</v>
      </c>
      <c r="N165" s="5">
        <f t="shared" si="52"/>
        <v>-9</v>
      </c>
      <c r="O165" s="5">
        <f t="shared" si="53"/>
        <v>-22.057259570672553</v>
      </c>
      <c r="P165" s="6">
        <f t="shared" si="54"/>
        <v>139.26405602391443</v>
      </c>
      <c r="Q165" s="6"/>
      <c r="R165" s="6">
        <f t="shared" si="55"/>
        <v>221.57123251983802</v>
      </c>
      <c r="S165" s="6">
        <f t="shared" si="56"/>
        <v>7.3809949692674648</v>
      </c>
      <c r="T165" s="6">
        <f t="shared" si="57"/>
        <v>7.3809949692674648</v>
      </c>
      <c r="U165" s="6">
        <f t="shared" si="58"/>
        <v>304.98998418634483</v>
      </c>
      <c r="V165" s="6">
        <f t="shared" si="59"/>
        <v>304.98998418634483</v>
      </c>
      <c r="W165" s="6">
        <f t="shared" si="60"/>
        <v>20.593227264538623</v>
      </c>
      <c r="X165" s="6">
        <f t="shared" si="61"/>
        <v>305.68443117560929</v>
      </c>
      <c r="Y165" s="6">
        <f t="shared" si="62"/>
        <v>-31.988233000095764</v>
      </c>
    </row>
    <row r="166" ht="14.25">
      <c r="A166">
        <v>-6</v>
      </c>
      <c r="B166">
        <f t="shared" si="44"/>
        <v>-1.8</v>
      </c>
      <c r="E166">
        <f t="shared" si="45"/>
        <v>-0.095399999999999999</v>
      </c>
      <c r="F166">
        <f t="shared" si="46"/>
        <v>-0.095399999999999999</v>
      </c>
      <c r="G166">
        <f t="shared" si="47"/>
        <v>222.72207267837163</v>
      </c>
      <c r="H166">
        <f t="shared" si="48"/>
        <v>222.72207267837163</v>
      </c>
      <c r="I166">
        <f t="shared" si="49"/>
        <v>-12.075339985689077</v>
      </c>
      <c r="J166">
        <f t="shared" si="50"/>
        <v>223.04917729935664</v>
      </c>
      <c r="K166" s="5">
        <f t="shared" si="51"/>
        <v>29.004721005892755</v>
      </c>
      <c r="N166" s="5">
        <f t="shared" si="52"/>
        <v>-10.800000000000001</v>
      </c>
      <c r="O166" s="5">
        <f t="shared" si="53"/>
        <v>-26.420765356587172</v>
      </c>
      <c r="P166" s="6">
        <f t="shared" si="54"/>
        <v>138.5025023527451</v>
      </c>
      <c r="Q166" s="6"/>
      <c r="R166" s="6">
        <f t="shared" si="55"/>
        <v>221.33996671318454</v>
      </c>
      <c r="S166" s="6">
        <f t="shared" si="56"/>
        <v>7.3406326246954903</v>
      </c>
      <c r="T166" s="6">
        <f t="shared" si="57"/>
        <v>7.3406326246954903</v>
      </c>
      <c r="U166" s="6">
        <f t="shared" si="58"/>
        <v>304.30255001586687</v>
      </c>
      <c r="V166" s="6">
        <f t="shared" si="59"/>
        <v>304.30255001586687</v>
      </c>
      <c r="W166" s="6">
        <f t="shared" si="60"/>
        <v>23.166591792089861</v>
      </c>
      <c r="X166" s="6">
        <f t="shared" si="61"/>
        <v>305.1831137553657</v>
      </c>
      <c r="Y166" s="6">
        <f t="shared" si="62"/>
        <v>-38.316346396498375</v>
      </c>
    </row>
    <row r="167" ht="14.25">
      <c r="A167">
        <v>-7</v>
      </c>
      <c r="B167">
        <f t="shared" si="44"/>
        <v>-2.1000000000000001</v>
      </c>
      <c r="E167">
        <f t="shared" si="45"/>
        <v>-0.1113</v>
      </c>
      <c r="F167">
        <f t="shared" si="46"/>
        <v>-0.1113</v>
      </c>
      <c r="G167">
        <f t="shared" si="47"/>
        <v>222.54237357858631</v>
      </c>
      <c r="H167">
        <f t="shared" si="48"/>
        <v>222.54237357858631</v>
      </c>
      <c r="I167">
        <f t="shared" si="49"/>
        <v>-12.091239985689077</v>
      </c>
      <c r="J167">
        <f t="shared" si="50"/>
        <v>222.87060398891236</v>
      </c>
      <c r="K167" s="5">
        <f t="shared" si="51"/>
        <v>29.004721005892755</v>
      </c>
      <c r="N167" s="5">
        <f t="shared" si="52"/>
        <v>-12.6</v>
      </c>
      <c r="O167" s="5">
        <f t="shared" si="53"/>
        <v>-30.758197036912495</v>
      </c>
      <c r="P167" s="6">
        <f t="shared" si="54"/>
        <v>137.6042634333634</v>
      </c>
      <c r="Q167" s="6"/>
      <c r="R167" s="6">
        <f t="shared" si="55"/>
        <v>221.1100828341273</v>
      </c>
      <c r="S167" s="6">
        <f t="shared" si="56"/>
        <v>7.2930259619682598</v>
      </c>
      <c r="T167" s="6">
        <f t="shared" si="57"/>
        <v>7.2930259619682598</v>
      </c>
      <c r="U167" s="6">
        <f t="shared" si="58"/>
        <v>303.53462371945949</v>
      </c>
      <c r="V167" s="6">
        <f t="shared" si="59"/>
        <v>303.53462371945949</v>
      </c>
      <c r="W167" s="6">
        <f t="shared" si="60"/>
        <v>25.717093690478826</v>
      </c>
      <c r="X167" s="6">
        <f t="shared" si="61"/>
        <v>304.62212116719087</v>
      </c>
      <c r="Y167" s="6">
        <f t="shared" si="62"/>
        <v>-44.606646184996208</v>
      </c>
    </row>
    <row r="168" ht="14.25">
      <c r="A168">
        <v>-8</v>
      </c>
      <c r="B168">
        <f t="shared" si="44"/>
        <v>-2.3999999999999999</v>
      </c>
      <c r="E168">
        <f t="shared" si="45"/>
        <v>-0.12719999999999998</v>
      </c>
      <c r="F168">
        <f t="shared" si="46"/>
        <v>-0.12719999999999998</v>
      </c>
      <c r="G168">
        <f t="shared" si="47"/>
        <v>222.36267447880098</v>
      </c>
      <c r="H168">
        <f t="shared" si="48"/>
        <v>222.36267447880098</v>
      </c>
      <c r="I168">
        <f t="shared" si="49"/>
        <v>-12.107139985689077</v>
      </c>
      <c r="J168">
        <f t="shared" si="50"/>
        <v>222.69203362491052</v>
      </c>
      <c r="K168" s="5">
        <f t="shared" si="51"/>
        <v>29.004721005892755</v>
      </c>
      <c r="N168" s="5">
        <f t="shared" si="52"/>
        <v>-14.4</v>
      </c>
      <c r="O168" s="5">
        <f t="shared" si="53"/>
        <v>-35.065274090244529</v>
      </c>
      <c r="P168" s="6">
        <f t="shared" si="54"/>
        <v>136.57022571913697</v>
      </c>
      <c r="Q168" s="6"/>
      <c r="R168" s="6">
        <f t="shared" si="55"/>
        <v>220.88180775030071</v>
      </c>
      <c r="S168" s="6">
        <f t="shared" si="56"/>
        <v>7.2382219631142597</v>
      </c>
      <c r="T168" s="6">
        <f t="shared" si="57"/>
        <v>7.2382219631142597</v>
      </c>
      <c r="U168" s="6">
        <f t="shared" si="58"/>
        <v>302.6869631476643</v>
      </c>
      <c r="V168" s="6">
        <f t="shared" si="59"/>
        <v>302.6869631476643</v>
      </c>
      <c r="W168" s="6">
        <f t="shared" si="60"/>
        <v>28.242215922257639</v>
      </c>
      <c r="X168" s="6">
        <f t="shared" si="61"/>
        <v>304.00167831733251</v>
      </c>
      <c r="Y168" s="6">
        <f t="shared" si="62"/>
        <v>-50.852924599135122</v>
      </c>
    </row>
    <row r="169" ht="14.25">
      <c r="A169">
        <v>-9</v>
      </c>
      <c r="B169">
        <f t="shared" si="44"/>
        <v>-2.7000000000000002</v>
      </c>
      <c r="E169">
        <f t="shared" si="45"/>
        <v>-0.1431</v>
      </c>
      <c r="F169">
        <f t="shared" si="46"/>
        <v>-0.1431</v>
      </c>
      <c r="G169">
        <f t="shared" si="47"/>
        <v>222.18297537901563</v>
      </c>
      <c r="H169">
        <f t="shared" si="48"/>
        <v>222.18297537901563</v>
      </c>
      <c r="I169">
        <f t="shared" si="49"/>
        <v>-12.123039985689077</v>
      </c>
      <c r="J169">
        <f t="shared" si="50"/>
        <v>222.51346621444483</v>
      </c>
      <c r="K169" s="5">
        <f t="shared" si="51"/>
        <v>29.004721005892755</v>
      </c>
      <c r="N169" s="5">
        <f t="shared" si="52"/>
        <v>-16.199999999999999</v>
      </c>
      <c r="O169" s="5">
        <f t="shared" si="53"/>
        <v>-39.337745951531325</v>
      </c>
      <c r="P169" s="6">
        <f t="shared" si="54"/>
        <v>135.40140968044898</v>
      </c>
      <c r="Q169" s="6"/>
      <c r="R169" s="6">
        <f t="shared" si="55"/>
        <v>220.6553667416525</v>
      </c>
      <c r="S169" s="6">
        <f t="shared" si="56"/>
        <v>7.1762747130637958</v>
      </c>
      <c r="T169" s="6">
        <f t="shared" si="57"/>
        <v>7.1762747130637958</v>
      </c>
      <c r="U169" s="6">
        <f t="shared" si="58"/>
        <v>301.76040483912641</v>
      </c>
      <c r="V169" s="6">
        <f t="shared" si="59"/>
        <v>301.76040483912641</v>
      </c>
      <c r="W169" s="6">
        <f t="shared" si="60"/>
        <v>30.739466496645235</v>
      </c>
      <c r="X169" s="6">
        <f t="shared" si="61"/>
        <v>303.32203469113784</v>
      </c>
      <c r="Y169" s="6">
        <f t="shared" si="62"/>
        <v>-57.049017316242669</v>
      </c>
    </row>
    <row r="170" ht="14.25">
      <c r="A170">
        <v>-10</v>
      </c>
      <c r="B170">
        <f t="shared" si="44"/>
        <v>-3</v>
      </c>
      <c r="E170">
        <f t="shared" si="45"/>
        <v>-0.159</v>
      </c>
      <c r="F170">
        <f t="shared" si="46"/>
        <v>-0.159</v>
      </c>
      <c r="G170">
        <f t="shared" si="47"/>
        <v>222.00327627923031</v>
      </c>
      <c r="H170">
        <f t="shared" si="48"/>
        <v>222.00327627923031</v>
      </c>
      <c r="I170">
        <f t="shared" si="49"/>
        <v>-12.138939985689078</v>
      </c>
      <c r="J170">
        <f t="shared" si="50"/>
        <v>222.3349017646317</v>
      </c>
      <c r="K170" s="5">
        <f t="shared" si="51"/>
        <v>29.004721005892755</v>
      </c>
      <c r="N170" s="5">
        <f t="shared" si="52"/>
        <v>-18</v>
      </c>
      <c r="O170" s="5">
        <f t="shared" si="53"/>
        <v>-43.571396206867583</v>
      </c>
      <c r="P170" s="6">
        <f t="shared" si="54"/>
        <v>134.09896879761664</v>
      </c>
      <c r="Q170" s="6"/>
      <c r="R170" s="6">
        <f t="shared" si="55"/>
        <v>220.43098327811967</v>
      </c>
      <c r="S170" s="6">
        <f t="shared" si="56"/>
        <v>7.1072453462736815</v>
      </c>
      <c r="T170" s="6">
        <f t="shared" si="57"/>
        <v>7.1072453462736815</v>
      </c>
      <c r="U170" s="6">
        <f t="shared" si="58"/>
        <v>300.75586319503162</v>
      </c>
      <c r="V170" s="6">
        <f t="shared" si="59"/>
        <v>300.75586319503162</v>
      </c>
      <c r="W170" s="6">
        <f t="shared" si="60"/>
        <v>33.206380928821396</v>
      </c>
      <c r="X170" s="6">
        <f t="shared" si="61"/>
        <v>302.58346448637701</v>
      </c>
      <c r="Y170" s="6">
        <f t="shared" si="62"/>
        <v>-63.188809540870409</v>
      </c>
    </row>
    <row r="171" ht="14.25">
      <c r="A171">
        <v>-11</v>
      </c>
      <c r="B171">
        <f t="shared" si="44"/>
        <v>-3.2999999999999998</v>
      </c>
      <c r="E171">
        <f t="shared" si="45"/>
        <v>-0.17489999999999997</v>
      </c>
      <c r="F171">
        <f t="shared" si="46"/>
        <v>-0.17489999999999997</v>
      </c>
      <c r="G171">
        <f t="shared" si="47"/>
        <v>221.82357717944495</v>
      </c>
      <c r="H171">
        <f t="shared" si="48"/>
        <v>221.82357717944495</v>
      </c>
      <c r="I171">
        <f t="shared" si="49"/>
        <v>-12.154839985689076</v>
      </c>
      <c r="J171">
        <f t="shared" si="50"/>
        <v>222.15634028261016</v>
      </c>
      <c r="K171" s="5">
        <f t="shared" si="51"/>
        <v>29.004721005892755</v>
      </c>
      <c r="N171" s="5">
        <f t="shared" si="52"/>
        <v>-19.800000000000001</v>
      </c>
      <c r="O171" s="5">
        <f t="shared" si="53"/>
        <v>-47.762046754586081</v>
      </c>
      <c r="P171" s="6">
        <f t="shared" si="54"/>
        <v>132.66418842254578</v>
      </c>
      <c r="Q171" s="6"/>
      <c r="R171" s="6">
        <f t="shared" si="55"/>
        <v>220.2088787990906</v>
      </c>
      <c r="S171" s="6">
        <f t="shared" si="56"/>
        <v>7.031201986394926</v>
      </c>
      <c r="T171" s="6">
        <f t="shared" si="57"/>
        <v>7.031201986394926</v>
      </c>
      <c r="U171" s="6">
        <f t="shared" si="58"/>
        <v>299.67432957670292</v>
      </c>
      <c r="V171" s="6">
        <f t="shared" si="59"/>
        <v>299.67432957670292</v>
      </c>
      <c r="W171" s="6">
        <f t="shared" si="60"/>
        <v>35.64052467207577</v>
      </c>
      <c r="X171" s="6">
        <f t="shared" si="61"/>
        <v>301.78626676200361</v>
      </c>
      <c r="Y171" s="6">
        <f t="shared" si="62"/>
        <v>-69.266242039358744</v>
      </c>
    </row>
    <row r="172" ht="14.25">
      <c r="A172">
        <v>-12</v>
      </c>
      <c r="B172">
        <f t="shared" si="44"/>
        <v>-3.6000000000000001</v>
      </c>
      <c r="E172">
        <f t="shared" si="45"/>
        <v>-0.1908</v>
      </c>
      <c r="F172">
        <f t="shared" si="46"/>
        <v>-0.1908</v>
      </c>
      <c r="G172">
        <f t="shared" si="47"/>
        <v>221.64387807965963</v>
      </c>
      <c r="H172">
        <f t="shared" si="48"/>
        <v>221.64387807965963</v>
      </c>
      <c r="I172">
        <f t="shared" si="49"/>
        <v>-12.170739985689076</v>
      </c>
      <c r="J172">
        <f t="shared" si="50"/>
        <v>221.9777817755423</v>
      </c>
      <c r="K172" s="5">
        <f t="shared" si="51"/>
        <v>29.004721005892755</v>
      </c>
      <c r="N172" s="5">
        <f t="shared" si="52"/>
        <v>-21.600000000000001</v>
      </c>
      <c r="O172" s="5">
        <f t="shared" si="53"/>
        <v>-51.905561928539598</v>
      </c>
      <c r="P172" s="6">
        <f t="shared" si="54"/>
        <v>131.09848451024345</v>
      </c>
      <c r="Q172" s="6"/>
      <c r="R172" s="6">
        <f t="shared" si="55"/>
        <v>219.98927249487107</v>
      </c>
      <c r="S172" s="6">
        <f t="shared" si="56"/>
        <v>6.9482196790429027</v>
      </c>
      <c r="T172" s="6">
        <f t="shared" si="57"/>
        <v>6.9482196790429027</v>
      </c>
      <c r="U172" s="6">
        <f t="shared" si="58"/>
        <v>298.51687132724635</v>
      </c>
      <c r="V172" s="6">
        <f t="shared" si="59"/>
        <v>298.51687132724635</v>
      </c>
      <c r="W172" s="6">
        <f t="shared" si="60"/>
        <v>38.039495520411513</v>
      </c>
      <c r="X172" s="6">
        <f t="shared" si="61"/>
        <v>300.93076560307878</v>
      </c>
      <c r="Y172" s="6">
        <f t="shared" si="62"/>
        <v>-75.275317119568982</v>
      </c>
    </row>
    <row r="173" ht="14.25">
      <c r="A173">
        <v>-13</v>
      </c>
      <c r="B173">
        <f t="shared" si="44"/>
        <v>-3.8999999999999999</v>
      </c>
      <c r="E173">
        <f t="shared" si="45"/>
        <v>-0.20669999999999999</v>
      </c>
      <c r="F173">
        <f t="shared" si="46"/>
        <v>-0.20669999999999999</v>
      </c>
      <c r="G173">
        <f t="shared" si="47"/>
        <v>221.4641789798743</v>
      </c>
      <c r="H173">
        <f t="shared" si="48"/>
        <v>221.4641789798743</v>
      </c>
      <c r="I173">
        <f t="shared" si="49"/>
        <v>-12.186639985689077</v>
      </c>
      <c r="J173">
        <f t="shared" si="50"/>
        <v>221.79922625061295</v>
      </c>
      <c r="K173" s="5">
        <f t="shared" si="51"/>
        <v>29.004721005892755</v>
      </c>
      <c r="N173" s="5">
        <f t="shared" si="52"/>
        <v>-23.399999999999999</v>
      </c>
      <c r="O173" s="5">
        <f t="shared" si="53"/>
        <v>-55.99785257950407</v>
      </c>
      <c r="P173" s="6">
        <f t="shared" si="54"/>
        <v>129.40340222144135</v>
      </c>
      <c r="Q173" s="6"/>
      <c r="R173" s="6">
        <f t="shared" si="55"/>
        <v>219.77238109036995</v>
      </c>
      <c r="S173" s="6">
        <f t="shared" si="56"/>
        <v>6.8583803177363913</v>
      </c>
      <c r="T173" s="6">
        <f t="shared" si="57"/>
        <v>6.8583803177363913</v>
      </c>
      <c r="U173" s="6">
        <f t="shared" si="58"/>
        <v>297.28463071821255</v>
      </c>
      <c r="V173" s="6">
        <f t="shared" si="59"/>
        <v>297.28463071821255</v>
      </c>
      <c r="W173" s="6">
        <f t="shared" si="60"/>
        <v>40.400925979232539</v>
      </c>
      <c r="X173" s="6">
        <f t="shared" si="61"/>
        <v>300.01731030266143</v>
      </c>
      <c r="Y173" s="6">
        <f t="shared" si="62"/>
        <v>-81.210104549881379</v>
      </c>
    </row>
    <row r="174" ht="14.25">
      <c r="A174">
        <v>-14</v>
      </c>
      <c r="B174">
        <f t="shared" si="44"/>
        <v>-4.2000000000000002</v>
      </c>
      <c r="E174">
        <f t="shared" si="45"/>
        <v>-0.22259999999999999</v>
      </c>
      <c r="F174">
        <f t="shared" si="46"/>
        <v>-0.22259999999999999</v>
      </c>
      <c r="G174">
        <f t="shared" si="47"/>
        <v>221.28447988008895</v>
      </c>
      <c r="H174">
        <f t="shared" si="48"/>
        <v>221.28447988008895</v>
      </c>
      <c r="I174">
        <f t="shared" si="49"/>
        <v>-12.202539985689077</v>
      </c>
      <c r="J174">
        <f t="shared" si="50"/>
        <v>221.62067371503008</v>
      </c>
      <c r="K174" s="5">
        <f t="shared" si="51"/>
        <v>29.004721005892755</v>
      </c>
      <c r="N174" s="5">
        <f t="shared" si="52"/>
        <v>-25.199999999999999</v>
      </c>
      <c r="O174" s="5">
        <f t="shared" si="53"/>
        <v>-60.034880110675239</v>
      </c>
      <c r="P174" s="6">
        <f t="shared" si="54"/>
        <v>127.58061439770876</v>
      </c>
      <c r="Q174" s="6"/>
      <c r="R174" s="6">
        <f t="shared" si="55"/>
        <v>219.55841863121788</v>
      </c>
      <c r="S174" s="6">
        <f t="shared" si="56"/>
        <v>6.7617725630785639</v>
      </c>
      <c r="T174" s="6">
        <f t="shared" si="57"/>
        <v>6.7617725630785639</v>
      </c>
      <c r="U174" s="6">
        <f t="shared" si="58"/>
        <v>295.97882382231239</v>
      </c>
      <c r="V174" s="6">
        <f t="shared" si="59"/>
        <v>295.97882382231239</v>
      </c>
      <c r="W174" s="6">
        <f t="shared" si="60"/>
        <v>42.722485601774977</v>
      </c>
      <c r="X174" s="6">
        <f t="shared" si="61"/>
        <v>299.04627556154804</v>
      </c>
      <c r="Y174" s="6">
        <f t="shared" si="62"/>
        <v>-87.064747411617759</v>
      </c>
    </row>
    <row r="175" ht="14.25">
      <c r="A175">
        <v>-15</v>
      </c>
      <c r="B175">
        <f t="shared" si="44"/>
        <v>-4.5</v>
      </c>
      <c r="E175">
        <f t="shared" si="45"/>
        <v>-0.23849999999999999</v>
      </c>
      <c r="F175">
        <f t="shared" si="46"/>
        <v>-0.23849999999999999</v>
      </c>
      <c r="G175">
        <f t="shared" si="47"/>
        <v>221.10478078030363</v>
      </c>
      <c r="H175">
        <f t="shared" si="48"/>
        <v>221.10478078030363</v>
      </c>
      <c r="I175">
        <f t="shared" si="49"/>
        <v>-12.218439985689077</v>
      </c>
      <c r="J175">
        <f t="shared" si="50"/>
        <v>221.44212417602486</v>
      </c>
      <c r="K175" s="5">
        <f t="shared" si="51"/>
        <v>29.004721005892755</v>
      </c>
      <c r="N175" s="5">
        <f t="shared" si="52"/>
        <v>-27</v>
      </c>
      <c r="O175" s="5">
        <f t="shared" si="53"/>
        <v>-64.012660463276092</v>
      </c>
      <c r="P175" s="6">
        <f t="shared" si="54"/>
        <v>125.63191991055987</v>
      </c>
      <c r="Q175" s="6"/>
      <c r="R175" s="6">
        <f t="shared" si="55"/>
        <v>219.34759627253004</v>
      </c>
      <c r="S175" s="6">
        <f t="shared" si="56"/>
        <v>6.6584917552596732</v>
      </c>
      <c r="T175" s="6">
        <f t="shared" si="57"/>
        <v>6.6584917552596732</v>
      </c>
      <c r="U175" s="6">
        <f t="shared" si="58"/>
        <v>294.60073931330021</v>
      </c>
      <c r="V175" s="6">
        <f t="shared" si="59"/>
        <v>294.60073931330021</v>
      </c>
      <c r="W175" s="6">
        <f t="shared" si="60"/>
        <v>45.00188328897665</v>
      </c>
      <c r="X175" s="6">
        <f t="shared" si="61"/>
        <v>298.01806170683307</v>
      </c>
      <c r="Y175" s="6">
        <f t="shared" si="62"/>
        <v>-92.833467879113243</v>
      </c>
    </row>
    <row r="176" ht="14.25">
      <c r="A176">
        <v>-16</v>
      </c>
      <c r="B176">
        <f t="shared" si="44"/>
        <v>-4.7999999999999998</v>
      </c>
      <c r="E176">
        <f t="shared" si="45"/>
        <v>-0.25439999999999996</v>
      </c>
      <c r="F176">
        <f t="shared" si="46"/>
        <v>-0.25439999999999996</v>
      </c>
      <c r="G176">
        <f t="shared" si="47"/>
        <v>220.92508168051828</v>
      </c>
      <c r="H176">
        <f t="shared" si="48"/>
        <v>220.92508168051828</v>
      </c>
      <c r="I176">
        <f t="shared" si="49"/>
        <v>-12.234339985689077</v>
      </c>
      <c r="J176">
        <f t="shared" si="50"/>
        <v>221.26357764085148</v>
      </c>
      <c r="K176" s="5">
        <f t="shared" si="51"/>
        <v>29.004721005892755</v>
      </c>
      <c r="N176" s="5">
        <f t="shared" si="52"/>
        <v>-28.800000000000001</v>
      </c>
      <c r="O176" s="5">
        <f t="shared" si="53"/>
        <v>-67.927268048341858</v>
      </c>
      <c r="P176" s="6">
        <f t="shared" si="54"/>
        <v>123.55924188618476</v>
      </c>
      <c r="Q176" s="6"/>
      <c r="R176" s="6">
        <f t="shared" si="55"/>
        <v>219.14012207052153</v>
      </c>
      <c r="S176" s="6">
        <f t="shared" si="56"/>
        <v>6.548639819967792</v>
      </c>
      <c r="T176" s="6">
        <f t="shared" si="57"/>
        <v>6.548639819967792</v>
      </c>
      <c r="U176" s="6">
        <f t="shared" si="58"/>
        <v>293.15173719420818</v>
      </c>
      <c r="V176" s="6">
        <f t="shared" si="59"/>
        <v>293.15173719420818</v>
      </c>
      <c r="W176" s="6">
        <f t="shared" si="60"/>
        <v>47.236869550515323</v>
      </c>
      <c r="X176" s="6">
        <f t="shared" si="61"/>
        <v>296.93309493034707</v>
      </c>
      <c r="Y176" s="6">
        <f t="shared" si="62"/>
        <v>-98.510572921732447</v>
      </c>
    </row>
    <row r="177" ht="14.25">
      <c r="A177">
        <v>-17</v>
      </c>
      <c r="B177">
        <f t="shared" si="44"/>
        <v>-5.0999999999999996</v>
      </c>
      <c r="E177">
        <f t="shared" si="45"/>
        <v>-0.27029999999999998</v>
      </c>
      <c r="F177">
        <f t="shared" si="46"/>
        <v>-0.27029999999999998</v>
      </c>
      <c r="G177">
        <f t="shared" si="47"/>
        <v>220.74538258073295</v>
      </c>
      <c r="H177">
        <f t="shared" si="48"/>
        <v>220.74538258073295</v>
      </c>
      <c r="I177">
        <f t="shared" si="49"/>
        <v>-12.250239985689078</v>
      </c>
      <c r="J177">
        <f t="shared" si="50"/>
        <v>221.0850341167876</v>
      </c>
      <c r="K177" s="5">
        <f t="shared" si="51"/>
        <v>29.004721005892755</v>
      </c>
      <c r="N177" s="5">
        <f t="shared" si="52"/>
        <v>-30.600000000000001</v>
      </c>
      <c r="O177" s="5">
        <f t="shared" si="53"/>
        <v>-71.774839620802354</v>
      </c>
      <c r="P177" s="6">
        <f t="shared" si="54"/>
        <v>121.36462580755605</v>
      </c>
      <c r="Q177" s="6"/>
      <c r="R177" s="6">
        <f t="shared" si="55"/>
        <v>218.93620077718114</v>
      </c>
      <c r="S177" s="6">
        <f t="shared" si="56"/>
        <v>6.4323251678004709</v>
      </c>
      <c r="T177" s="6">
        <f t="shared" si="57"/>
        <v>6.4323251678004709</v>
      </c>
      <c r="U177" s="6">
        <f t="shared" si="58"/>
        <v>291.63324745518781</v>
      </c>
      <c r="V177" s="6">
        <f t="shared" si="59"/>
        <v>291.63324745518781</v>
      </c>
      <c r="W177" s="6">
        <f t="shared" si="60"/>
        <v>49.425238724784002</v>
      </c>
      <c r="X177" s="6">
        <f t="shared" si="61"/>
        <v>295.79182754812666</v>
      </c>
      <c r="Y177" s="6">
        <f t="shared" si="62"/>
        <v>-104.09045992220348</v>
      </c>
    </row>
    <row r="178" ht="14.25">
      <c r="A178">
        <v>-18</v>
      </c>
      <c r="B178">
        <f t="shared" si="44"/>
        <v>-5.4000000000000004</v>
      </c>
      <c r="E178">
        <f t="shared" si="45"/>
        <v>-0.28620000000000001</v>
      </c>
      <c r="F178">
        <f t="shared" si="46"/>
        <v>-0.28620000000000001</v>
      </c>
      <c r="G178">
        <f t="shared" si="47"/>
        <v>220.5656834809476</v>
      </c>
      <c r="H178">
        <f t="shared" si="48"/>
        <v>220.5656834809476</v>
      </c>
      <c r="I178">
        <f t="shared" si="49"/>
        <v>-12.266139985689076</v>
      </c>
      <c r="J178">
        <f t="shared" si="50"/>
        <v>220.90649361113421</v>
      </c>
      <c r="K178" s="5">
        <f t="shared" si="51"/>
        <v>29.004721005892755</v>
      </c>
      <c r="N178" s="5">
        <f t="shared" si="52"/>
        <v>-32.399999999999999</v>
      </c>
      <c r="O178" s="5">
        <f t="shared" si="53"/>
        <v>-75.551578092038525</v>
      </c>
      <c r="P178" s="6">
        <f t="shared" si="54"/>
        <v>119.05023749578413</v>
      </c>
      <c r="Q178" s="6"/>
      <c r="R178" s="6">
        <f t="shared" si="55"/>
        <v>218.73603363820561</v>
      </c>
      <c r="S178" s="6">
        <f t="shared" si="56"/>
        <v>6.3096625872765584</v>
      </c>
      <c r="T178" s="6">
        <f t="shared" si="57"/>
        <v>6.3096625872765584</v>
      </c>
      <c r="U178" s="6">
        <f t="shared" si="58"/>
        <v>290.04676866228186</v>
      </c>
      <c r="V178" s="6">
        <f t="shared" si="59"/>
        <v>290.04676866228186</v>
      </c>
      <c r="W178" s="6">
        <f t="shared" si="60"/>
        <v>51.564831155612715</v>
      </c>
      <c r="X178" s="6">
        <f t="shared" si="61"/>
        <v>294.59473828216636</v>
      </c>
      <c r="Y178" s="6">
        <f t="shared" si="62"/>
        <v>-109.56762220572483</v>
      </c>
    </row>
    <row r="179" ht="14.25">
      <c r="A179">
        <v>-19</v>
      </c>
      <c r="B179">
        <f t="shared" si="44"/>
        <v>-5.7000000000000002</v>
      </c>
      <c r="E179">
        <f t="shared" si="45"/>
        <v>-0.30209999999999998</v>
      </c>
      <c r="F179">
        <f t="shared" si="46"/>
        <v>-0.30209999999999998</v>
      </c>
      <c r="G179">
        <f t="shared" si="47"/>
        <v>220.38598438116227</v>
      </c>
      <c r="H179">
        <f t="shared" si="48"/>
        <v>220.38598438116227</v>
      </c>
      <c r="I179">
        <f t="shared" si="49"/>
        <v>-12.282039985689076</v>
      </c>
      <c r="J179">
        <f t="shared" si="50"/>
        <v>220.7279561312159</v>
      </c>
      <c r="K179" s="5">
        <f t="shared" si="51"/>
        <v>29.004721005892755</v>
      </c>
      <c r="N179" s="5">
        <f t="shared" si="52"/>
        <v>-34.200000000000003</v>
      </c>
      <c r="O179" s="5">
        <f t="shared" si="53"/>
        <v>-79.253756277150416</v>
      </c>
      <c r="P179" s="6">
        <f t="shared" si="54"/>
        <v>116.61836097271322</v>
      </c>
      <c r="Q179" s="6"/>
      <c r="R179" s="6">
        <f t="shared" si="55"/>
        <v>218.53981819439468</v>
      </c>
      <c r="S179" s="6">
        <f t="shared" si="56"/>
        <v>6.1807731315538001</v>
      </c>
      <c r="T179" s="6">
        <f t="shared" si="57"/>
        <v>6.1807731315538001</v>
      </c>
      <c r="U179" s="6">
        <f t="shared" si="58"/>
        <v>288.39386647852115</v>
      </c>
      <c r="V179" s="6">
        <f t="shared" si="59"/>
        <v>288.39386647852115</v>
      </c>
      <c r="W179" s="6">
        <f t="shared" si="60"/>
        <v>53.653535323588343</v>
      </c>
      <c r="X179" s="6">
        <f t="shared" si="61"/>
        <v>293.34233256581064</v>
      </c>
      <c r="Y179" s="6">
        <f t="shared" si="62"/>
        <v>-114.93665447438848</v>
      </c>
    </row>
    <row r="180" ht="14.25">
      <c r="A180">
        <v>-20</v>
      </c>
      <c r="B180">
        <f t="shared" si="44"/>
        <v>-6</v>
      </c>
      <c r="E180">
        <f t="shared" si="45"/>
        <v>-0.318</v>
      </c>
      <c r="F180">
        <f t="shared" si="46"/>
        <v>-0.318</v>
      </c>
      <c r="G180">
        <f t="shared" si="47"/>
        <v>220.20628528137695</v>
      </c>
      <c r="H180">
        <f t="shared" si="48"/>
        <v>220.20628528137695</v>
      </c>
      <c r="I180">
        <f t="shared" si="49"/>
        <v>-12.297939985689077</v>
      </c>
      <c r="J180">
        <f t="shared" si="50"/>
        <v>220.54942168438072</v>
      </c>
      <c r="K180" s="5">
        <f t="shared" si="51"/>
        <v>29.004721005892755</v>
      </c>
      <c r="N180" s="5">
        <f t="shared" si="52"/>
        <v>-36</v>
      </c>
      <c r="O180" s="5">
        <f t="shared" si="53"/>
        <v>-82.877720573238719</v>
      </c>
      <c r="P180" s="6">
        <f t="shared" si="54"/>
        <v>114.07139620686759</v>
      </c>
      <c r="Q180" s="6"/>
      <c r="R180" s="6">
        <f t="shared" si="55"/>
        <v>218.34774808670201</v>
      </c>
      <c r="S180" s="6">
        <f t="shared" si="56"/>
        <v>6.0457839989639819</v>
      </c>
      <c r="T180" s="6">
        <f t="shared" si="57"/>
        <v>6.0457839989639819</v>
      </c>
      <c r="U180" s="6">
        <f t="shared" si="58"/>
        <v>286.67617211880372</v>
      </c>
      <c r="V180" s="6">
        <f t="shared" si="59"/>
        <v>286.67617211880372</v>
      </c>
      <c r="W180" s="6">
        <f t="shared" si="60"/>
        <v>55.689289929869418</v>
      </c>
      <c r="X180" s="6">
        <f t="shared" si="61"/>
        <v>292.035142874249</v>
      </c>
      <c r="Y180" s="6">
        <f t="shared" si="62"/>
        <v>-120.19225814155637</v>
      </c>
    </row>
    <row r="181" ht="14.25">
      <c r="A181">
        <v>-21</v>
      </c>
      <c r="B181">
        <f t="shared" si="44"/>
        <v>-6.2999999999999998</v>
      </c>
      <c r="E181">
        <f t="shared" si="45"/>
        <v>-0.33389999999999997</v>
      </c>
      <c r="F181">
        <f t="shared" si="46"/>
        <v>-0.33389999999999997</v>
      </c>
      <c r="G181">
        <f t="shared" si="47"/>
        <v>220.0265861815916</v>
      </c>
      <c r="H181">
        <f t="shared" si="48"/>
        <v>220.0265861815916</v>
      </c>
      <c r="I181">
        <f t="shared" si="49"/>
        <v>-12.313839985689077</v>
      </c>
      <c r="J181">
        <f t="shared" si="50"/>
        <v>220.37089027800045</v>
      </c>
      <c r="K181" s="5">
        <f t="shared" si="51"/>
        <v>29.004721005892755</v>
      </c>
      <c r="N181" s="5">
        <f t="shared" si="52"/>
        <v>-37.799999999999997</v>
      </c>
      <c r="O181" s="5">
        <f t="shared" si="53"/>
        <v>-86.419894565069669</v>
      </c>
      <c r="P181" s="6">
        <f t="shared" si="54"/>
        <v>111.41185674497235</v>
      </c>
      <c r="Q181" s="6"/>
      <c r="R181" s="6">
        <f t="shared" si="55"/>
        <v>218.16001286513497</v>
      </c>
      <c r="S181" s="6">
        <f t="shared" si="56"/>
        <v>5.9048284074835342</v>
      </c>
      <c r="T181" s="6">
        <f t="shared" si="57"/>
        <v>5.9048284074835342</v>
      </c>
      <c r="U181" s="6">
        <f t="shared" si="58"/>
        <v>284.89538074008283</v>
      </c>
      <c r="V181" s="6">
        <f t="shared" si="59"/>
        <v>284.89538074008283</v>
      </c>
      <c r="W181" s="6">
        <f t="shared" si="60"/>
        <v>57.670085930439143</v>
      </c>
      <c r="X181" s="6">
        <f t="shared" si="61"/>
        <v>290.67372908169909</v>
      </c>
      <c r="Y181" s="6">
        <f t="shared" si="62"/>
        <v>-125.32924656092567</v>
      </c>
    </row>
    <row r="182" ht="14.25">
      <c r="A182">
        <v>-22</v>
      </c>
      <c r="B182">
        <f t="shared" si="44"/>
        <v>-6.5999999999999996</v>
      </c>
      <c r="E182">
        <f t="shared" si="45"/>
        <v>-0.34979999999999994</v>
      </c>
      <c r="F182">
        <f t="shared" si="46"/>
        <v>-0.34979999999999994</v>
      </c>
      <c r="G182">
        <f t="shared" si="47"/>
        <v>219.84688708180627</v>
      </c>
      <c r="H182">
        <f t="shared" si="48"/>
        <v>219.84688708180627</v>
      </c>
      <c r="I182">
        <f t="shared" si="49"/>
        <v>-12.329739985689077</v>
      </c>
      <c r="J182">
        <f t="shared" si="50"/>
        <v>220.1923619194707</v>
      </c>
      <c r="K182" s="5">
        <f t="shared" si="51"/>
        <v>29.004721005892755</v>
      </c>
      <c r="N182" s="5">
        <f t="shared" si="52"/>
        <v>-39.600000000000001</v>
      </c>
      <c r="O182" s="5">
        <f t="shared" si="53"/>
        <v>-89.876782554565239</v>
      </c>
      <c r="P182" s="6">
        <f t="shared" si="54"/>
        <v>108.64236723138629</v>
      </c>
      <c r="Q182" s="6"/>
      <c r="R182" s="6">
        <f t="shared" si="55"/>
        <v>217.9767978016917</v>
      </c>
      <c r="S182" s="6">
        <f t="shared" si="56"/>
        <v>5.758045463263473</v>
      </c>
      <c r="T182" s="6">
        <f t="shared" si="57"/>
        <v>5.758045463263473</v>
      </c>
      <c r="U182" s="6">
        <f t="shared" si="58"/>
        <v>283.05324976845179</v>
      </c>
      <c r="V182" s="6">
        <f t="shared" si="59"/>
        <v>283.05324976845179</v>
      </c>
      <c r="W182" s="6">
        <f t="shared" si="60"/>
        <v>59.593968518789403</v>
      </c>
      <c r="X182" s="6">
        <f t="shared" si="61"/>
        <v>289.25867884697948</v>
      </c>
      <c r="Y182" s="6">
        <f t="shared" si="62"/>
        <v>-130.34255014512271</v>
      </c>
    </row>
    <row r="183" ht="14.25">
      <c r="A183">
        <v>-23</v>
      </c>
      <c r="B183">
        <f t="shared" si="44"/>
        <v>-6.9000000000000004</v>
      </c>
      <c r="E183">
        <f t="shared" si="45"/>
        <v>-0.36570000000000003</v>
      </c>
      <c r="F183">
        <f t="shared" si="46"/>
        <v>-0.36570000000000003</v>
      </c>
      <c r="G183">
        <f t="shared" si="47"/>
        <v>219.66718798202092</v>
      </c>
      <c r="H183">
        <f t="shared" si="48"/>
        <v>219.66718798202092</v>
      </c>
      <c r="I183">
        <f t="shared" si="49"/>
        <v>-12.345639985689077</v>
      </c>
      <c r="J183">
        <f t="shared" si="50"/>
        <v>220.01383661621094</v>
      </c>
      <c r="K183" s="5">
        <f t="shared" si="51"/>
        <v>29.004721005892755</v>
      </c>
      <c r="N183" s="5">
        <f t="shared" si="52"/>
        <v>-41.399999999999999</v>
      </c>
      <c r="O183" s="5">
        <f t="shared" si="53"/>
        <v>-93.244973010634908</v>
      </c>
      <c r="P183" s="6">
        <f t="shared" si="54"/>
        <v>105.7656608178948</v>
      </c>
      <c r="Q183" s="6"/>
      <c r="R183" s="6">
        <f t="shared" si="55"/>
        <v>217.79828370752</v>
      </c>
      <c r="S183" s="6">
        <f t="shared" si="56"/>
        <v>5.6055800233484243</v>
      </c>
      <c r="T183" s="6">
        <f t="shared" si="57"/>
        <v>5.6055800233484243</v>
      </c>
      <c r="U183" s="6">
        <f t="shared" si="58"/>
        <v>281.15159716477632</v>
      </c>
      <c r="V183" s="6">
        <f t="shared" si="59"/>
        <v>281.15159716477632</v>
      </c>
      <c r="W183" s="6">
        <f t="shared" si="60"/>
        <v>61.45903905507862</v>
      </c>
      <c r="X183" s="6">
        <f t="shared" si="61"/>
        <v>287.79060802930718</v>
      </c>
      <c r="Y183" s="6">
        <f t="shared" si="62"/>
        <v>-135.22722136877329</v>
      </c>
    </row>
    <row r="184" ht="14.25">
      <c r="A184">
        <v>-24</v>
      </c>
      <c r="B184">
        <f t="shared" si="44"/>
        <v>-7.2000000000000002</v>
      </c>
      <c r="E184">
        <f t="shared" si="45"/>
        <v>-0.38159999999999999</v>
      </c>
      <c r="F184">
        <f t="shared" si="46"/>
        <v>-0.38159999999999999</v>
      </c>
      <c r="G184">
        <f t="shared" si="47"/>
        <v>219.4874888822356</v>
      </c>
      <c r="H184">
        <f t="shared" si="48"/>
        <v>219.4874888822356</v>
      </c>
      <c r="I184">
        <f t="shared" si="49"/>
        <v>-12.361539985689078</v>
      </c>
      <c r="J184">
        <f t="shared" si="50"/>
        <v>219.83531437566458</v>
      </c>
      <c r="K184" s="5">
        <f t="shared" si="51"/>
        <v>29.004721005892755</v>
      </c>
      <c r="N184" s="5">
        <f t="shared" si="52"/>
        <v>-43.200000000000003</v>
      </c>
      <c r="O184" s="5">
        <f t="shared" si="53"/>
        <v>-96.52114193594511</v>
      </c>
      <c r="P184" s="6">
        <f t="shared" si="54"/>
        <v>102.78457646641903</v>
      </c>
      <c r="Q184" s="6"/>
      <c r="R184" s="6">
        <f t="shared" si="55"/>
        <v>217.62464675447856</v>
      </c>
      <c r="S184" s="6">
        <f t="shared" si="56"/>
        <v>5.447582552720208</v>
      </c>
      <c r="T184" s="6">
        <f t="shared" si="57"/>
        <v>5.447582552720208</v>
      </c>
      <c r="U184" s="6">
        <f t="shared" si="58"/>
        <v>279.19229963058706</v>
      </c>
      <c r="V184" s="6">
        <f t="shared" si="59"/>
        <v>279.19229963058706</v>
      </c>
      <c r="W184" s="6">
        <f t="shared" si="60"/>
        <v>63.263456939860184</v>
      </c>
      <c r="X184" s="6">
        <f t="shared" si="61"/>
        <v>286.27016113628929</v>
      </c>
      <c r="Y184" s="6">
        <f t="shared" si="62"/>
        <v>-139.97843965111318</v>
      </c>
    </row>
    <row r="185" ht="14.25">
      <c r="A185">
        <v>-25</v>
      </c>
      <c r="B185">
        <f t="shared" si="44"/>
        <v>-7.5</v>
      </c>
      <c r="E185">
        <f t="shared" si="45"/>
        <v>-0.39749999999999996</v>
      </c>
      <c r="F185">
        <f t="shared" si="46"/>
        <v>-0.39749999999999996</v>
      </c>
      <c r="G185">
        <f t="shared" si="47"/>
        <v>219.30778978245027</v>
      </c>
      <c r="H185">
        <f t="shared" si="48"/>
        <v>219.30778978245027</v>
      </c>
      <c r="I185">
        <f t="shared" si="49"/>
        <v>-12.377439985689076</v>
      </c>
      <c r="J185">
        <f t="shared" si="50"/>
        <v>219.65679520529915</v>
      </c>
      <c r="K185" s="5">
        <f t="shared" si="51"/>
        <v>29.004721005892755</v>
      </c>
      <c r="N185" s="5">
        <f t="shared" si="52"/>
        <v>-45</v>
      </c>
      <c r="O185" s="5">
        <f t="shared" si="53"/>
        <v>-99.702056147303196</v>
      </c>
      <c r="P185" s="6">
        <f t="shared" si="54"/>
        <v>99.70205614730321</v>
      </c>
      <c r="Q185" s="6"/>
      <c r="R185" s="6">
        <f t="shared" si="55"/>
        <v>217.45605830127658</v>
      </c>
      <c r="S185" s="6">
        <f t="shared" si="56"/>
        <v>5.2842089758070703</v>
      </c>
      <c r="T185" s="6">
        <f t="shared" si="57"/>
        <v>5.2842089758070703</v>
      </c>
      <c r="U185" s="6">
        <f t="shared" si="58"/>
        <v>277.17729075600136</v>
      </c>
      <c r="V185" s="6">
        <f t="shared" si="59"/>
        <v>277.17729075600136</v>
      </c>
      <c r="W185" s="6">
        <f t="shared" si="60"/>
        <v>65.005441430531818</v>
      </c>
      <c r="X185" s="6">
        <f t="shared" si="61"/>
        <v>284.69801180622113</v>
      </c>
      <c r="Y185" s="6">
        <f t="shared" si="62"/>
        <v>-144.59151611331922</v>
      </c>
    </row>
    <row r="186" ht="14.25">
      <c r="A186">
        <v>-26</v>
      </c>
      <c r="B186">
        <f t="shared" si="44"/>
        <v>-7.7999999999999998</v>
      </c>
      <c r="E186">
        <f t="shared" si="45"/>
        <v>-0.41339999999999999</v>
      </c>
      <c r="F186">
        <f t="shared" si="46"/>
        <v>-0.41339999999999999</v>
      </c>
      <c r="G186">
        <f t="shared" si="47"/>
        <v>219.12809068266492</v>
      </c>
      <c r="H186">
        <f t="shared" si="48"/>
        <v>219.12809068266492</v>
      </c>
      <c r="I186">
        <f t="shared" si="49"/>
        <v>-12.393339985689076</v>
      </c>
      <c r="J186">
        <f t="shared" si="50"/>
        <v>219.47827911260629</v>
      </c>
      <c r="K186" s="5">
        <f t="shared" si="51"/>
        <v>29.004721005892755</v>
      </c>
      <c r="N186" s="5">
        <f t="shared" si="52"/>
        <v>-46.799999999999997</v>
      </c>
      <c r="O186" s="5">
        <f t="shared" si="53"/>
        <v>-102.78457646641903</v>
      </c>
      <c r="P186" s="6">
        <f t="shared" si="54"/>
        <v>96.52114193594511</v>
      </c>
      <c r="Q186" s="6"/>
      <c r="R186" s="6">
        <f t="shared" si="55"/>
        <v>217.29268472436345</v>
      </c>
      <c r="S186" s="6">
        <f t="shared" si="56"/>
        <v>5.1156205226050906</v>
      </c>
      <c r="T186" s="6">
        <f t="shared" si="57"/>
        <v>5.1156205226050906</v>
      </c>
      <c r="U186" s="6">
        <f t="shared" si="58"/>
        <v>275.10855911150344</v>
      </c>
      <c r="V186" s="6">
        <f t="shared" si="59"/>
        <v>275.10855911150344</v>
      </c>
      <c r="W186" s="6">
        <f t="shared" si="60"/>
        <v>66.683273398713581</v>
      </c>
      <c r="X186" s="6">
        <f t="shared" si="61"/>
        <v>283.07486332695663</v>
      </c>
      <c r="Y186" s="6">
        <f t="shared" si="62"/>
        <v>-149.0618982058667</v>
      </c>
    </row>
    <row r="187" ht="14.25">
      <c r="A187">
        <v>-27</v>
      </c>
      <c r="B187">
        <f t="shared" si="44"/>
        <v>-8.0999999999999996</v>
      </c>
      <c r="E187">
        <f t="shared" si="45"/>
        <v>-0.42929999999999996</v>
      </c>
      <c r="F187">
        <f t="shared" si="46"/>
        <v>-0.42929999999999996</v>
      </c>
      <c r="G187">
        <f t="shared" si="47"/>
        <v>218.94839158287959</v>
      </c>
      <c r="H187">
        <f t="shared" si="48"/>
        <v>218.94839158287959</v>
      </c>
      <c r="I187">
        <f t="shared" si="49"/>
        <v>-12.409239985689076</v>
      </c>
      <c r="J187">
        <f t="shared" si="50"/>
        <v>219.2997661051019</v>
      </c>
      <c r="K187" s="5">
        <f t="shared" si="51"/>
        <v>29.004721005892755</v>
      </c>
      <c r="N187" s="5">
        <f t="shared" si="52"/>
        <v>-48.600000000000001</v>
      </c>
      <c r="O187" s="5">
        <f t="shared" si="53"/>
        <v>-105.7656608178948</v>
      </c>
      <c r="P187" s="6">
        <f t="shared" si="54"/>
        <v>93.244973010634908</v>
      </c>
      <c r="Q187" s="6"/>
      <c r="R187" s="6">
        <f t="shared" si="55"/>
        <v>217.13468725373522</v>
      </c>
      <c r="S187" s="6">
        <f t="shared" si="56"/>
        <v>4.94198356956365</v>
      </c>
      <c r="T187" s="6">
        <f t="shared" si="57"/>
        <v>4.94198356956365</v>
      </c>
      <c r="U187" s="6">
        <f t="shared" si="58"/>
        <v>272.9881462854654</v>
      </c>
      <c r="V187" s="6">
        <f t="shared" si="59"/>
        <v>272.9881462854654</v>
      </c>
      <c r="W187" s="6">
        <f t="shared" si="60"/>
        <v>68.295297026819966</v>
      </c>
      <c r="X187" s="6">
        <f t="shared" si="61"/>
        <v>281.40144919377411</v>
      </c>
      <c r="Y187" s="6">
        <f t="shared" si="62"/>
        <v>-153.3851742013461</v>
      </c>
    </row>
    <row r="188" ht="14.25">
      <c r="A188">
        <v>-28</v>
      </c>
      <c r="B188">
        <f t="shared" si="44"/>
        <v>-8.4000000000000004</v>
      </c>
      <c r="E188">
        <f t="shared" si="45"/>
        <v>-0.44519999999999998</v>
      </c>
      <c r="F188">
        <f t="shared" si="46"/>
        <v>-0.44519999999999998</v>
      </c>
      <c r="G188">
        <f t="shared" si="47"/>
        <v>218.76869248309424</v>
      </c>
      <c r="H188">
        <f t="shared" si="48"/>
        <v>218.76869248309424</v>
      </c>
      <c r="I188">
        <f t="shared" si="49"/>
        <v>-12.425139985689077</v>
      </c>
      <c r="J188">
        <f t="shared" si="50"/>
        <v>219.12125619032633</v>
      </c>
      <c r="K188" s="5">
        <f t="shared" si="51"/>
        <v>29.004721005892755</v>
      </c>
      <c r="N188" s="5">
        <f t="shared" si="52"/>
        <v>-50.399999999999999</v>
      </c>
      <c r="O188" s="5">
        <f t="shared" si="53"/>
        <v>-108.64236723138627</v>
      </c>
      <c r="P188" s="6">
        <f t="shared" si="54"/>
        <v>89.876782554565267</v>
      </c>
      <c r="Q188" s="6"/>
      <c r="R188" s="6">
        <f t="shared" si="55"/>
        <v>216.98222181382019</v>
      </c>
      <c r="S188" s="6">
        <f t="shared" si="56"/>
        <v>4.7634694753919593</v>
      </c>
      <c r="T188" s="6">
        <f t="shared" si="57"/>
        <v>4.7634694753919593</v>
      </c>
      <c r="U188" s="6">
        <f t="shared" si="58"/>
        <v>270.81814486934616</v>
      </c>
      <c r="V188" s="6">
        <f t="shared" si="59"/>
        <v>270.81814486934616</v>
      </c>
      <c r="W188" s="6">
        <f t="shared" si="60"/>
        <v>69.839921442152018</v>
      </c>
      <c r="X188" s="6">
        <f t="shared" si="61"/>
        <v>279.67853370882818</v>
      </c>
      <c r="Y188" s="6">
        <f t="shared" si="62"/>
        <v>-157.55707754830522</v>
      </c>
    </row>
    <row r="189" ht="14.25">
      <c r="A189">
        <v>-29</v>
      </c>
      <c r="B189">
        <f t="shared" si="44"/>
        <v>-8.6999999999999993</v>
      </c>
      <c r="E189">
        <f t="shared" si="45"/>
        <v>-0.46109999999999995</v>
      </c>
      <c r="F189">
        <f t="shared" si="46"/>
        <v>-0.46109999999999995</v>
      </c>
      <c r="G189">
        <f t="shared" si="47"/>
        <v>218.58899338330892</v>
      </c>
      <c r="H189">
        <f t="shared" si="48"/>
        <v>218.58899338330892</v>
      </c>
      <c r="I189">
        <f t="shared" si="49"/>
        <v>-12.441039985689077</v>
      </c>
      <c r="J189">
        <f t="shared" si="50"/>
        <v>218.94274937584433</v>
      </c>
      <c r="K189" s="5">
        <f t="shared" si="51"/>
        <v>29.004721005892755</v>
      </c>
      <c r="N189" s="5">
        <f t="shared" si="52"/>
        <v>-52.200000000000003</v>
      </c>
      <c r="O189" s="5">
        <f t="shared" si="53"/>
        <v>-111.41185674497235</v>
      </c>
      <c r="P189" s="6">
        <f t="shared" si="54"/>
        <v>86.419894565069683</v>
      </c>
      <c r="Q189" s="6"/>
      <c r="R189" s="6">
        <f t="shared" si="55"/>
        <v>216.83543886960013</v>
      </c>
      <c r="S189" s="6">
        <f t="shared" si="56"/>
        <v>4.580254411948693</v>
      </c>
      <c r="T189" s="6">
        <f t="shared" si="57"/>
        <v>4.580254411948693</v>
      </c>
      <c r="U189" s="6">
        <f t="shared" si="58"/>
        <v>268.60069639255573</v>
      </c>
      <c r="V189" s="6">
        <f t="shared" si="59"/>
        <v>268.60069639255573</v>
      </c>
      <c r="W189" s="6">
        <f t="shared" si="60"/>
        <v>71.31562228689657</v>
      </c>
      <c r="X189" s="6">
        <f t="shared" si="61"/>
        <v>277.90691262495289</v>
      </c>
      <c r="Y189" s="6">
        <f t="shared" si="62"/>
        <v>-161.57349108182072</v>
      </c>
    </row>
    <row r="190" ht="14.25">
      <c r="A190">
        <v>-30</v>
      </c>
      <c r="B190">
        <f t="shared" si="44"/>
        <v>-9</v>
      </c>
      <c r="E190">
        <f t="shared" si="45"/>
        <v>-0.47699999999999998</v>
      </c>
      <c r="F190">
        <f t="shared" si="46"/>
        <v>-0.47699999999999998</v>
      </c>
      <c r="G190">
        <f t="shared" si="47"/>
        <v>218.40929428352356</v>
      </c>
      <c r="H190">
        <f t="shared" si="48"/>
        <v>218.40929428352356</v>
      </c>
      <c r="I190">
        <f t="shared" si="49"/>
        <v>-12.456939985689077</v>
      </c>
      <c r="J190">
        <f t="shared" si="50"/>
        <v>218.76424566924518</v>
      </c>
      <c r="K190" s="5">
        <f t="shared" si="51"/>
        <v>29.004721005892755</v>
      </c>
      <c r="N190" s="5">
        <f t="shared" si="52"/>
        <v>-54</v>
      </c>
      <c r="O190" s="5">
        <f t="shared" si="53"/>
        <v>-114.07139620686759</v>
      </c>
      <c r="P190" s="6">
        <f t="shared" si="54"/>
        <v>82.877720573238719</v>
      </c>
      <c r="Q190" s="6"/>
      <c r="R190" s="6">
        <f t="shared" si="55"/>
        <v>216.69448327811969</v>
      </c>
      <c r="S190" s="6">
        <f t="shared" si="56"/>
        <v>4.3925191903816518</v>
      </c>
      <c r="T190" s="6">
        <f t="shared" si="57"/>
        <v>4.3925191903816518</v>
      </c>
      <c r="U190" s="6">
        <f t="shared" si="58"/>
        <v>266.33798920902512</v>
      </c>
      <c r="V190" s="6">
        <f t="shared" si="59"/>
        <v>266.33798920902512</v>
      </c>
      <c r="W190" s="6">
        <f t="shared" si="60"/>
        <v>72.720943222483356</v>
      </c>
      <c r="X190" s="6">
        <f t="shared" si="61"/>
        <v>276.08741383676733</v>
      </c>
      <c r="Y190" s="6">
        <f t="shared" si="62"/>
        <v>-165.43045108664239</v>
      </c>
    </row>
    <row r="191" ht="14.25">
      <c r="A191">
        <v>-31</v>
      </c>
      <c r="B191">
        <f t="shared" si="44"/>
        <v>-9.3000000000000007</v>
      </c>
      <c r="E191">
        <f t="shared" si="45"/>
        <v>-0.4929</v>
      </c>
      <c r="F191">
        <f t="shared" si="46"/>
        <v>-0.4929</v>
      </c>
      <c r="G191">
        <f t="shared" si="47"/>
        <v>218.22959518373824</v>
      </c>
      <c r="H191">
        <f t="shared" si="48"/>
        <v>218.22959518373824</v>
      </c>
      <c r="I191">
        <f t="shared" si="49"/>
        <v>-12.472839985689077</v>
      </c>
      <c r="J191">
        <f t="shared" si="50"/>
        <v>218.58574507814288</v>
      </c>
      <c r="K191" s="5">
        <f t="shared" si="51"/>
        <v>29.004721005892755</v>
      </c>
      <c r="N191" s="5">
        <f t="shared" si="52"/>
        <v>-55.799999999999997</v>
      </c>
      <c r="O191" s="5">
        <f t="shared" si="53"/>
        <v>-116.61836097271322</v>
      </c>
      <c r="P191" s="6">
        <f t="shared" si="54"/>
        <v>79.253756277150416</v>
      </c>
      <c r="Q191" s="6"/>
      <c r="R191" s="6">
        <f t="shared" si="55"/>
        <v>216.55949414552987</v>
      </c>
      <c r="S191" s="6">
        <f t="shared" si="56"/>
        <v>4.200449082688972</v>
      </c>
      <c r="T191" s="6">
        <f t="shared" si="57"/>
        <v>4.200449082688972</v>
      </c>
      <c r="U191" s="6">
        <f t="shared" si="58"/>
        <v>264.03225633756443</v>
      </c>
      <c r="V191" s="6">
        <f t="shared" si="59"/>
        <v>264.03225633756443</v>
      </c>
      <c r="W191" s="6">
        <f t="shared" si="60"/>
        <v>74.054497366815454</v>
      </c>
      <c r="X191" s="6">
        <f t="shared" si="61"/>
        <v>274.22089812222009</v>
      </c>
      <c r="Y191" s="6">
        <f t="shared" si="62"/>
        <v>-169.12415120890196</v>
      </c>
    </row>
    <row r="192" ht="14.25">
      <c r="A192">
        <v>-32</v>
      </c>
      <c r="B192">
        <f t="shared" si="44"/>
        <v>-9.5999999999999996</v>
      </c>
      <c r="E192">
        <f t="shared" si="45"/>
        <v>-0.50879999999999992</v>
      </c>
      <c r="F192">
        <f t="shared" si="46"/>
        <v>-0.50879999999999992</v>
      </c>
      <c r="G192">
        <f t="shared" si="47"/>
        <v>218.04989608395292</v>
      </c>
      <c r="H192">
        <f t="shared" si="48"/>
        <v>218.04989608395292</v>
      </c>
      <c r="I192">
        <f t="shared" si="49"/>
        <v>-12.488739985689076</v>
      </c>
      <c r="J192">
        <f t="shared" si="50"/>
        <v>218.4072476101762</v>
      </c>
      <c r="K192" s="5">
        <f t="shared" si="51"/>
        <v>29.004721005892755</v>
      </c>
      <c r="N192" s="5">
        <f t="shared" si="52"/>
        <v>-57.600000000000001</v>
      </c>
      <c r="O192" s="5">
        <f t="shared" si="53"/>
        <v>-119.05023749578413</v>
      </c>
      <c r="P192" s="6">
        <f t="shared" si="54"/>
        <v>75.551578092038511</v>
      </c>
      <c r="Q192" s="6"/>
      <c r="R192" s="6">
        <f t="shared" si="55"/>
        <v>216.4306046898071</v>
      </c>
      <c r="S192" s="6">
        <f t="shared" si="56"/>
        <v>4.0042336388780413</v>
      </c>
      <c r="T192" s="6">
        <f t="shared" si="57"/>
        <v>4.0042336388780413</v>
      </c>
      <c r="U192" s="6">
        <f t="shared" si="58"/>
        <v>261.68577325814323</v>
      </c>
      <c r="V192" s="6">
        <f t="shared" si="59"/>
        <v>261.68577325814323</v>
      </c>
      <c r="W192" s="6">
        <f t="shared" si="60"/>
        <v>75.3149686629543</v>
      </c>
      <c r="X192" s="6">
        <f t="shared" si="61"/>
        <v>272.30825993791325</v>
      </c>
      <c r="Y192" s="6">
        <f t="shared" si="62"/>
        <v>-172.65094621252456</v>
      </c>
    </row>
    <row r="193" ht="14.25">
      <c r="A193">
        <v>-33</v>
      </c>
      <c r="B193">
        <f t="shared" si="44"/>
        <v>-9.9000000000000004</v>
      </c>
      <c r="E193">
        <f t="shared" si="45"/>
        <v>-0.52470000000000006</v>
      </c>
      <c r="F193">
        <f t="shared" si="46"/>
        <v>-0.52470000000000006</v>
      </c>
      <c r="G193">
        <f t="shared" si="47"/>
        <v>217.87019698416756</v>
      </c>
      <c r="H193">
        <f t="shared" si="48"/>
        <v>217.87019698416756</v>
      </c>
      <c r="I193">
        <f t="shared" si="49"/>
        <v>-12.504639985689076</v>
      </c>
      <c r="J193">
        <f t="shared" si="50"/>
        <v>218.22875327300864</v>
      </c>
      <c r="K193" s="5">
        <f t="shared" si="51"/>
        <v>29.004721005892755</v>
      </c>
      <c r="N193" s="5">
        <f t="shared" si="52"/>
        <v>-59.399999999999999</v>
      </c>
      <c r="O193" s="5">
        <f t="shared" si="53"/>
        <v>-121.36462580755605</v>
      </c>
      <c r="P193" s="6">
        <f t="shared" si="54"/>
        <v>71.774839620802339</v>
      </c>
      <c r="Q193" s="6"/>
      <c r="R193" s="6">
        <f t="shared" si="55"/>
        <v>216.3079421092832</v>
      </c>
      <c r="S193" s="6">
        <f t="shared" si="56"/>
        <v>3.804066499902524</v>
      </c>
      <c r="T193" s="6">
        <f t="shared" si="57"/>
        <v>3.804066499902524</v>
      </c>
      <c r="U193" s="6">
        <f t="shared" si="58"/>
        <v>259.30085566626673</v>
      </c>
      <c r="V193" s="6">
        <f t="shared" si="59"/>
        <v>259.30085566626673</v>
      </c>
      <c r="W193" s="6">
        <f t="shared" si="60"/>
        <v>76.501113177909176</v>
      </c>
      <c r="X193" s="6">
        <f t="shared" si="61"/>
        <v>270.35042827174766</v>
      </c>
      <c r="Y193" s="6">
        <f t="shared" si="62"/>
        <v>-176.00735557663677</v>
      </c>
    </row>
    <row r="194" ht="14.25">
      <c r="A194">
        <v>-34</v>
      </c>
      <c r="B194">
        <f t="shared" si="44"/>
        <v>-10.199999999999999</v>
      </c>
      <c r="E194">
        <f t="shared" si="45"/>
        <v>-0.54059999999999997</v>
      </c>
      <c r="F194">
        <f t="shared" si="46"/>
        <v>-0.54059999999999997</v>
      </c>
      <c r="G194">
        <f t="shared" si="47"/>
        <v>217.69049788438224</v>
      </c>
      <c r="H194">
        <f t="shared" si="48"/>
        <v>217.69049788438224</v>
      </c>
      <c r="I194">
        <f t="shared" si="49"/>
        <v>-12.520539985689076</v>
      </c>
      <c r="J194">
        <f t="shared" si="50"/>
        <v>218.0502620743288</v>
      </c>
      <c r="K194" s="5">
        <f t="shared" si="51"/>
        <v>29.004721005892755</v>
      </c>
      <c r="N194" s="5">
        <f t="shared" si="52"/>
        <v>-61.200000000000003</v>
      </c>
      <c r="O194" s="5">
        <f t="shared" si="53"/>
        <v>-123.55924188618478</v>
      </c>
      <c r="P194" s="6">
        <f t="shared" si="54"/>
        <v>67.927268048341844</v>
      </c>
      <c r="Q194" s="6"/>
      <c r="R194" s="6">
        <f t="shared" si="55"/>
        <v>216.19162745711586</v>
      </c>
      <c r="S194" s="6">
        <f t="shared" si="56"/>
        <v>3.6001452065621176</v>
      </c>
      <c r="T194" s="6">
        <f t="shared" si="57"/>
        <v>3.6001452065621176</v>
      </c>
      <c r="U194" s="6">
        <f t="shared" si="58"/>
        <v>256.87985718766339</v>
      </c>
      <c r="V194" s="6">
        <f t="shared" si="59"/>
        <v>256.87985718766339</v>
      </c>
      <c r="W194" s="6">
        <f t="shared" si="60"/>
        <v>77.611760330248799</v>
      </c>
      <c r="X194" s="6">
        <f t="shared" si="61"/>
        <v>268.34836755664139</v>
      </c>
      <c r="Y194" s="6">
        <f t="shared" si="62"/>
        <v>-179.19006693042039</v>
      </c>
    </row>
    <row r="195" ht="14.25">
      <c r="A195">
        <v>-35</v>
      </c>
      <c r="B195">
        <f t="shared" si="44"/>
        <v>-10.5</v>
      </c>
      <c r="E195">
        <f t="shared" si="45"/>
        <v>-0.55649999999999999</v>
      </c>
      <c r="F195">
        <f t="shared" si="46"/>
        <v>-0.55649999999999999</v>
      </c>
      <c r="G195">
        <f t="shared" si="47"/>
        <v>217.51079878459689</v>
      </c>
      <c r="H195">
        <f t="shared" si="48"/>
        <v>217.51079878459689</v>
      </c>
      <c r="I195">
        <f t="shared" si="49"/>
        <v>-12.536439985689077</v>
      </c>
      <c r="J195">
        <f t="shared" si="50"/>
        <v>217.87177402185026</v>
      </c>
      <c r="K195" s="5">
        <f t="shared" si="51"/>
        <v>29.004721005892755</v>
      </c>
      <c r="N195" s="5">
        <f t="shared" si="52"/>
        <v>-63</v>
      </c>
      <c r="O195" s="5">
        <f t="shared" si="53"/>
        <v>-125.63191991055986</v>
      </c>
      <c r="P195" s="6">
        <f t="shared" si="54"/>
        <v>64.012660463276106</v>
      </c>
      <c r="Q195" s="6"/>
      <c r="R195" s="6">
        <f t="shared" si="55"/>
        <v>216.081775521824</v>
      </c>
      <c r="S195" s="6">
        <f t="shared" si="56"/>
        <v>3.3926710045536335</v>
      </c>
      <c r="T195" s="6">
        <f t="shared" si="57"/>
        <v>3.3926710045536335</v>
      </c>
      <c r="U195" s="6">
        <f t="shared" si="58"/>
        <v>254.42516705554098</v>
      </c>
      <c r="V195" s="6">
        <f t="shared" si="59"/>
        <v>254.42516705554098</v>
      </c>
      <c r="W195" s="6">
        <f t="shared" si="60"/>
        <v>78.645814045323817</v>
      </c>
      <c r="X195" s="6">
        <f t="shared" si="61"/>
        <v>266.30307864929313</v>
      </c>
      <c r="Y195" s="6">
        <f t="shared" si="62"/>
        <v>-182.19593932202258</v>
      </c>
    </row>
    <row r="196" ht="14.25">
      <c r="A196">
        <v>-36</v>
      </c>
      <c r="B196">
        <f t="shared" si="44"/>
        <v>-10.800000000000001</v>
      </c>
      <c r="E196">
        <f t="shared" si="45"/>
        <v>-0.57240000000000002</v>
      </c>
      <c r="F196">
        <f t="shared" si="46"/>
        <v>-0.57240000000000002</v>
      </c>
      <c r="G196">
        <f t="shared" si="47"/>
        <v>217.33109968481156</v>
      </c>
      <c r="H196">
        <f t="shared" si="48"/>
        <v>217.33109968481156</v>
      </c>
      <c r="I196">
        <f t="shared" si="49"/>
        <v>-12.552339985689077</v>
      </c>
      <c r="J196">
        <f t="shared" si="50"/>
        <v>217.69328912331181</v>
      </c>
      <c r="K196" s="5">
        <f t="shared" si="51"/>
        <v>29.004721005892755</v>
      </c>
      <c r="N196" s="5">
        <f t="shared" si="52"/>
        <v>-64.799999999999997</v>
      </c>
      <c r="O196" s="5">
        <f t="shared" si="53"/>
        <v>-127.58061439770876</v>
      </c>
      <c r="P196" s="6">
        <f t="shared" si="54"/>
        <v>60.034880110675246</v>
      </c>
      <c r="Q196" s="6"/>
      <c r="R196" s="6">
        <f t="shared" si="55"/>
        <v>215.97849471400511</v>
      </c>
      <c r="S196" s="6">
        <f t="shared" si="56"/>
        <v>3.181848645865788</v>
      </c>
      <c r="T196" s="6">
        <f t="shared" si="57"/>
        <v>3.181848645865788</v>
      </c>
      <c r="U196" s="6">
        <f t="shared" si="58"/>
        <v>251.93920775270152</v>
      </c>
      <c r="V196" s="6">
        <f t="shared" si="59"/>
        <v>251.93920775270152</v>
      </c>
      <c r="W196" s="6">
        <f t="shared" si="60"/>
        <v>79.602253836960315</v>
      </c>
      <c r="X196" s="6">
        <f t="shared" si="61"/>
        <v>264.2155998781729</v>
      </c>
      <c r="Y196" s="6">
        <f t="shared" si="62"/>
        <v>-185.02200631829635</v>
      </c>
    </row>
    <row r="197" ht="14.25">
      <c r="A197">
        <v>-37</v>
      </c>
      <c r="B197">
        <f t="shared" si="44"/>
        <v>-11.1</v>
      </c>
      <c r="E197">
        <f t="shared" si="45"/>
        <v>-0.58829999999999993</v>
      </c>
      <c r="F197">
        <f t="shared" si="46"/>
        <v>-0.58829999999999993</v>
      </c>
      <c r="G197">
        <f t="shared" si="47"/>
        <v>217.15140058502624</v>
      </c>
      <c r="H197">
        <f t="shared" si="48"/>
        <v>217.15140058502624</v>
      </c>
      <c r="I197">
        <f t="shared" si="49"/>
        <v>-12.568239985689077</v>
      </c>
      <c r="J197">
        <f t="shared" si="50"/>
        <v>217.51480738647749</v>
      </c>
      <c r="K197" s="5">
        <f t="shared" si="51"/>
        <v>29.004721005892755</v>
      </c>
      <c r="N197" s="5">
        <f t="shared" si="52"/>
        <v>-66.599999999999994</v>
      </c>
      <c r="O197" s="5">
        <f t="shared" si="53"/>
        <v>-129.40340222144135</v>
      </c>
      <c r="P197" s="6">
        <f t="shared" si="54"/>
        <v>55.997852579504062</v>
      </c>
      <c r="Q197" s="6"/>
      <c r="R197" s="6">
        <f t="shared" si="55"/>
        <v>215.88188695934727</v>
      </c>
      <c r="S197" s="6">
        <f t="shared" si="56"/>
        <v>2.9678861867137152</v>
      </c>
      <c r="T197" s="6">
        <f t="shared" si="57"/>
        <v>2.9678861867137152</v>
      </c>
      <c r="U197" s="6">
        <f t="shared" si="58"/>
        <v>249.42443262084342</v>
      </c>
      <c r="V197" s="6">
        <f t="shared" si="59"/>
        <v>249.42443262084342</v>
      </c>
      <c r="W197" s="6">
        <f t="shared" si="60"/>
        <v>80.480135814556306</v>
      </c>
      <c r="X197" s="6">
        <f t="shared" si="61"/>
        <v>262.08700816514937</v>
      </c>
      <c r="Y197" s="6">
        <f t="shared" si="62"/>
        <v>-187.66547893231149</v>
      </c>
    </row>
    <row r="198" ht="14.25">
      <c r="A198">
        <v>-38</v>
      </c>
      <c r="B198">
        <f t="shared" si="44"/>
        <v>-11.4</v>
      </c>
      <c r="E198">
        <f t="shared" si="45"/>
        <v>-0.60419999999999996</v>
      </c>
      <c r="F198">
        <f t="shared" si="46"/>
        <v>-0.60419999999999996</v>
      </c>
      <c r="G198">
        <f t="shared" si="47"/>
        <v>216.97170148524089</v>
      </c>
      <c r="H198">
        <f t="shared" si="48"/>
        <v>216.97170148524089</v>
      </c>
      <c r="I198">
        <f t="shared" si="49"/>
        <v>-12.584139985689077</v>
      </c>
      <c r="J198">
        <f t="shared" si="50"/>
        <v>217.33632881913667</v>
      </c>
      <c r="K198" s="5">
        <f t="shared" si="51"/>
        <v>29.004721005892755</v>
      </c>
      <c r="N198" s="5">
        <f t="shared" si="52"/>
        <v>-68.400000000000006</v>
      </c>
      <c r="O198" s="5">
        <f t="shared" si="53"/>
        <v>-131.09848451024345</v>
      </c>
      <c r="P198" s="6">
        <f t="shared" si="54"/>
        <v>51.905561928539612</v>
      </c>
      <c r="Q198" s="6"/>
      <c r="R198" s="6">
        <f t="shared" si="55"/>
        <v>215.79204759804077</v>
      </c>
      <c r="S198" s="6">
        <f t="shared" si="56"/>
        <v>2.7509947822125995</v>
      </c>
      <c r="T198" s="6">
        <f t="shared" si="57"/>
        <v>2.7509947822125995</v>
      </c>
      <c r="U198" s="6">
        <f t="shared" si="58"/>
        <v>246.88332343940939</v>
      </c>
      <c r="V198" s="6">
        <f t="shared" si="59"/>
        <v>246.88332343940939</v>
      </c>
      <c r="W198" s="6">
        <f t="shared" si="60"/>
        <v>81.278593614587876</v>
      </c>
      <c r="X198" s="6">
        <f t="shared" si="61"/>
        <v>259.91842022537253</v>
      </c>
      <c r="Y198" s="6">
        <f t="shared" si="62"/>
        <v>-190.12374837574822</v>
      </c>
    </row>
    <row r="199" ht="14.25">
      <c r="A199">
        <v>-39</v>
      </c>
      <c r="B199">
        <f t="shared" si="44"/>
        <v>-11.699999999999999</v>
      </c>
      <c r="E199">
        <f t="shared" si="45"/>
        <v>-0.62009999999999998</v>
      </c>
      <c r="F199">
        <f t="shared" si="46"/>
        <v>-0.62009999999999998</v>
      </c>
      <c r="G199">
        <f t="shared" si="47"/>
        <v>216.79200238545556</v>
      </c>
      <c r="H199">
        <f t="shared" si="48"/>
        <v>216.79200238545556</v>
      </c>
      <c r="I199">
        <f t="shared" si="49"/>
        <v>-12.600039985689078</v>
      </c>
      <c r="J199">
        <f t="shared" si="50"/>
        <v>217.15785342910428</v>
      </c>
      <c r="K199" s="5">
        <f t="shared" si="51"/>
        <v>29.004721005892755</v>
      </c>
      <c r="N199" s="5">
        <f t="shared" si="52"/>
        <v>-70.200000000000003</v>
      </c>
      <c r="O199" s="5">
        <f t="shared" si="53"/>
        <v>-132.66418842254578</v>
      </c>
      <c r="P199" s="6">
        <f t="shared" si="54"/>
        <v>47.762046754586102</v>
      </c>
      <c r="Q199" s="6"/>
      <c r="R199" s="6">
        <f t="shared" si="55"/>
        <v>215.70906529068873</v>
      </c>
      <c r="S199" s="6">
        <f t="shared" si="56"/>
        <v>2.5313884779930635</v>
      </c>
      <c r="T199" s="6">
        <f t="shared" si="57"/>
        <v>2.5313884779930635</v>
      </c>
      <c r="U199" s="6">
        <f t="shared" si="58"/>
        <v>244.31838797636959</v>
      </c>
      <c r="V199" s="6">
        <f t="shared" si="59"/>
        <v>244.31838797636959</v>
      </c>
      <c r="W199" s="6">
        <f t="shared" si="60"/>
        <v>81.996839255605366</v>
      </c>
      <c r="X199" s="6">
        <f t="shared" si="61"/>
        <v>257.71099385024581</v>
      </c>
      <c r="Y199" s="6">
        <f t="shared" si="62"/>
        <v>-192.39438863345643</v>
      </c>
    </row>
    <row r="200" ht="14.25">
      <c r="A200">
        <v>-40</v>
      </c>
      <c r="B200">
        <f t="shared" si="44"/>
        <v>-12</v>
      </c>
      <c r="E200">
        <f t="shared" si="45"/>
        <v>-0.63600000000000001</v>
      </c>
      <c r="F200">
        <f t="shared" si="46"/>
        <v>-0.63600000000000001</v>
      </c>
      <c r="G200">
        <f t="shared" si="47"/>
        <v>216.61230328567021</v>
      </c>
      <c r="H200">
        <f t="shared" si="48"/>
        <v>216.61230328567021</v>
      </c>
      <c r="I200">
        <f t="shared" si="49"/>
        <v>-12.615939985689076</v>
      </c>
      <c r="J200">
        <f t="shared" si="50"/>
        <v>216.97938122422065</v>
      </c>
      <c r="K200" s="5">
        <f t="shared" si="51"/>
        <v>29.004721005892755</v>
      </c>
      <c r="N200" s="5">
        <f t="shared" si="52"/>
        <v>-72</v>
      </c>
      <c r="O200" s="5">
        <f t="shared" si="53"/>
        <v>-134.09896879761664</v>
      </c>
      <c r="P200" s="6">
        <f t="shared" si="54"/>
        <v>43.57139620686759</v>
      </c>
      <c r="Q200" s="6"/>
      <c r="R200" s="6">
        <f t="shared" si="55"/>
        <v>215.63302193080997</v>
      </c>
      <c r="S200" s="6">
        <f t="shared" si="56"/>
        <v>2.3092839989639824</v>
      </c>
      <c r="T200" s="6">
        <f t="shared" si="57"/>
        <v>2.3092839989639824</v>
      </c>
      <c r="U200" s="6">
        <f t="shared" si="58"/>
        <v>241.73215751335769</v>
      </c>
      <c r="V200" s="6">
        <f t="shared" si="59"/>
        <v>241.73215751335769</v>
      </c>
      <c r="W200" s="6">
        <f t="shared" si="60"/>
        <v>82.634163915875945</v>
      </c>
      <c r="X200" s="6">
        <f t="shared" si="61"/>
        <v>255.46592927852166</v>
      </c>
      <c r="Y200" s="6">
        <f t="shared" si="62"/>
        <v>-194.47515885763943</v>
      </c>
    </row>
    <row r="201" ht="14.25">
      <c r="A201">
        <v>-41</v>
      </c>
      <c r="B201">
        <f t="shared" si="44"/>
        <v>-12.300000000000001</v>
      </c>
      <c r="E201">
        <f t="shared" si="45"/>
        <v>-0.65190000000000003</v>
      </c>
      <c r="F201">
        <f t="shared" si="46"/>
        <v>-0.65190000000000003</v>
      </c>
      <c r="G201">
        <f t="shared" si="47"/>
        <v>216.43260418588488</v>
      </c>
      <c r="H201">
        <f t="shared" si="48"/>
        <v>216.43260418588488</v>
      </c>
      <c r="I201">
        <f t="shared" si="49"/>
        <v>-12.631839985689076</v>
      </c>
      <c r="J201">
        <f t="shared" si="50"/>
        <v>216.80091221235202</v>
      </c>
      <c r="K201" s="5">
        <f t="shared" si="51"/>
        <v>29.004721005892755</v>
      </c>
      <c r="N201" s="5">
        <f t="shared" si="52"/>
        <v>-73.799999999999997</v>
      </c>
      <c r="O201" s="5">
        <f t="shared" si="53"/>
        <v>-135.40140968044895</v>
      </c>
      <c r="P201" s="6">
        <f t="shared" si="54"/>
        <v>39.33774595153136</v>
      </c>
      <c r="Q201" s="6"/>
      <c r="R201" s="6">
        <f t="shared" si="55"/>
        <v>215.56399256401986</v>
      </c>
      <c r="S201" s="6">
        <f t="shared" si="56"/>
        <v>2.0849005354311618</v>
      </c>
      <c r="T201" s="6">
        <f t="shared" si="57"/>
        <v>2.0849005354311618</v>
      </c>
      <c r="U201" s="6">
        <f t="shared" si="58"/>
        <v>239.12718434760131</v>
      </c>
      <c r="V201" s="6">
        <f t="shared" si="59"/>
        <v>239.12718434760131</v>
      </c>
      <c r="W201" s="6">
        <f t="shared" si="60"/>
        <v>83.189938632905069</v>
      </c>
      <c r="X201" s="6">
        <f t="shared" si="61"/>
        <v>253.18447066073821</v>
      </c>
      <c r="Y201" s="6">
        <f t="shared" si="62"/>
        <v>-196.3640055793004</v>
      </c>
    </row>
    <row r="202" ht="14.25">
      <c r="A202">
        <v>-42</v>
      </c>
      <c r="B202">
        <f t="shared" si="44"/>
        <v>-12.6</v>
      </c>
      <c r="E202">
        <f t="shared" si="45"/>
        <v>-0.66779999999999995</v>
      </c>
      <c r="F202">
        <f t="shared" si="46"/>
        <v>-0.66779999999999995</v>
      </c>
      <c r="G202">
        <f t="shared" si="47"/>
        <v>216.25290508609953</v>
      </c>
      <c r="H202">
        <f t="shared" si="48"/>
        <v>216.25290508609953</v>
      </c>
      <c r="I202">
        <f t="shared" si="49"/>
        <v>-12.647739985689077</v>
      </c>
      <c r="J202">
        <f t="shared" si="50"/>
        <v>216.62244640139022</v>
      </c>
      <c r="K202" s="5">
        <f t="shared" si="51"/>
        <v>29.004721005892755</v>
      </c>
      <c r="N202" s="5">
        <f t="shared" si="52"/>
        <v>-75.599999999999994</v>
      </c>
      <c r="O202" s="5">
        <f t="shared" si="53"/>
        <v>-136.57022571913697</v>
      </c>
      <c r="P202" s="6">
        <f t="shared" si="54"/>
        <v>35.06527409024455</v>
      </c>
      <c r="Q202" s="6"/>
      <c r="R202" s="6">
        <f t="shared" si="55"/>
        <v>215.5020453139694</v>
      </c>
      <c r="S202" s="6">
        <f t="shared" si="56"/>
        <v>1.8584595267829611</v>
      </c>
      <c r="T202" s="6">
        <f t="shared" si="57"/>
        <v>1.8584595267829611</v>
      </c>
      <c r="U202" s="6">
        <f t="shared" si="58"/>
        <v>236.5060392731128</v>
      </c>
      <c r="V202" s="6">
        <f t="shared" si="59"/>
        <v>236.5060392731128</v>
      </c>
      <c r="W202" s="6">
        <f t="shared" si="60"/>
        <v>83.663614924146543</v>
      </c>
      <c r="X202" s="6">
        <f t="shared" si="61"/>
        <v>250.86790762238013</v>
      </c>
      <c r="Y202" s="6">
        <f t="shared" si="62"/>
        <v>-198.05906473476838</v>
      </c>
    </row>
    <row r="203" ht="14.25">
      <c r="A203">
        <v>-43</v>
      </c>
      <c r="B203">
        <f t="shared" si="44"/>
        <v>-12.9</v>
      </c>
      <c r="E203">
        <f t="shared" si="45"/>
        <v>-0.68369999999999997</v>
      </c>
      <c r="F203">
        <f t="shared" si="46"/>
        <v>-0.68369999999999997</v>
      </c>
      <c r="G203">
        <f t="shared" si="47"/>
        <v>216.07320598631421</v>
      </c>
      <c r="H203">
        <f t="shared" si="48"/>
        <v>216.07320598631421</v>
      </c>
      <c r="I203">
        <f t="shared" si="49"/>
        <v>-12.663639985689077</v>
      </c>
      <c r="J203">
        <f t="shared" si="50"/>
        <v>216.44398379925303</v>
      </c>
      <c r="K203" s="5">
        <f t="shared" si="51"/>
        <v>29.004721005892755</v>
      </c>
      <c r="N203" s="5">
        <f t="shared" si="52"/>
        <v>-77.400000000000006</v>
      </c>
      <c r="O203" s="5">
        <f t="shared" si="53"/>
        <v>-137.6042634333634</v>
      </c>
      <c r="P203" s="6">
        <f t="shared" si="54"/>
        <v>30.758197036912488</v>
      </c>
      <c r="Q203" s="6"/>
      <c r="R203" s="6">
        <f t="shared" si="55"/>
        <v>215.44724131511541</v>
      </c>
      <c r="S203" s="6">
        <f t="shared" si="56"/>
        <v>1.6301844429563619</v>
      </c>
      <c r="T203" s="6">
        <f t="shared" si="57"/>
        <v>1.6301844429563619</v>
      </c>
      <c r="U203" s="6">
        <f t="shared" si="58"/>
        <v>233.87130904362596</v>
      </c>
      <c r="V203" s="6">
        <f t="shared" si="59"/>
        <v>233.87130904362596</v>
      </c>
      <c r="W203" s="6">
        <f t="shared" si="60"/>
        <v>84.054725328288541</v>
      </c>
      <c r="X203" s="6">
        <f t="shared" si="61"/>
        <v>248.51757693127709</v>
      </c>
      <c r="Y203" s="6">
        <f t="shared" si="62"/>
        <v>-199.5586635053038</v>
      </c>
    </row>
    <row r="204" ht="14.25">
      <c r="A204">
        <v>-44</v>
      </c>
      <c r="B204">
        <f t="shared" si="44"/>
        <v>-13.199999999999999</v>
      </c>
      <c r="E204">
        <f t="shared" si="45"/>
        <v>-0.69959999999999989</v>
      </c>
      <c r="F204">
        <f t="shared" si="46"/>
        <v>-0.69959999999999989</v>
      </c>
      <c r="G204">
        <f t="shared" si="47"/>
        <v>215.89350688652888</v>
      </c>
      <c r="H204">
        <f t="shared" si="48"/>
        <v>215.89350688652888</v>
      </c>
      <c r="I204">
        <f t="shared" si="49"/>
        <v>-12.679539985689077</v>
      </c>
      <c r="J204">
        <f t="shared" si="50"/>
        <v>216.26552441388429</v>
      </c>
      <c r="K204" s="5">
        <f t="shared" si="51"/>
        <v>29.004721005892755</v>
      </c>
      <c r="N204" s="5">
        <f t="shared" si="52"/>
        <v>-79.200000000000003</v>
      </c>
      <c r="O204" s="5">
        <f t="shared" si="53"/>
        <v>-138.5025023527451</v>
      </c>
      <c r="P204" s="6">
        <f t="shared" si="54"/>
        <v>26.420765356587189</v>
      </c>
      <c r="Q204" s="6"/>
      <c r="R204" s="6">
        <f t="shared" si="55"/>
        <v>215.39963465238816</v>
      </c>
      <c r="S204" s="6">
        <f t="shared" si="56"/>
        <v>1.4003005638991211</v>
      </c>
      <c r="T204" s="6">
        <f t="shared" si="57"/>
        <v>1.4003005638991211</v>
      </c>
      <c r="U204" s="6">
        <f t="shared" si="58"/>
        <v>231.22559381978255</v>
      </c>
      <c r="V204" s="6">
        <f t="shared" si="59"/>
        <v>231.22559381978255</v>
      </c>
      <c r="W204" s="6">
        <f t="shared" si="60"/>
        <v>84.362883866581441</v>
      </c>
      <c r="X204" s="6">
        <f t="shared" si="61"/>
        <v>246.13486427484705</v>
      </c>
      <c r="Y204" s="6">
        <f t="shared" si="62"/>
        <v>-200.86132196796882</v>
      </c>
    </row>
    <row r="205" ht="14.25">
      <c r="A205">
        <v>-45</v>
      </c>
      <c r="B205">
        <f t="shared" si="44"/>
        <v>-13.5</v>
      </c>
      <c r="E205">
        <f t="shared" si="45"/>
        <v>-0.71550000000000002</v>
      </c>
      <c r="F205">
        <f t="shared" si="46"/>
        <v>-0.71550000000000002</v>
      </c>
      <c r="G205">
        <f t="shared" si="47"/>
        <v>215.71380778674353</v>
      </c>
      <c r="H205">
        <f t="shared" si="48"/>
        <v>215.71380778674353</v>
      </c>
      <c r="I205">
        <f t="shared" si="49"/>
        <v>-12.695439985689077</v>
      </c>
      <c r="J205">
        <f t="shared" si="50"/>
        <v>216.08706825325379</v>
      </c>
      <c r="K205" s="5">
        <f t="shared" si="51"/>
        <v>29.004721005892755</v>
      </c>
      <c r="N205" s="5">
        <f t="shared" si="52"/>
        <v>-81</v>
      </c>
      <c r="O205" s="5">
        <f t="shared" si="53"/>
        <v>-139.26405602391443</v>
      </c>
      <c r="P205" s="6">
        <f t="shared" si="54"/>
        <v>22.05725957067256</v>
      </c>
      <c r="Q205" s="6"/>
      <c r="R205" s="6">
        <f t="shared" si="55"/>
        <v>215.35927230781618</v>
      </c>
      <c r="S205" s="6">
        <f t="shared" si="56"/>
        <v>1.1690347572456457</v>
      </c>
      <c r="T205" s="6">
        <f t="shared" si="57"/>
        <v>1.1690347572456457</v>
      </c>
      <c r="U205" s="6">
        <f t="shared" si="58"/>
        <v>228.57150460308736</v>
      </c>
      <c r="V205" s="6">
        <f t="shared" si="59"/>
        <v>228.57150460308736</v>
      </c>
      <c r="W205" s="6">
        <f t="shared" si="60"/>
        <v>84.587786423752462</v>
      </c>
      <c r="X205" s="6">
        <f t="shared" si="61"/>
        <v>243.72120615282853</v>
      </c>
      <c r="Y205" s="6">
        <f t="shared" si="62"/>
        <v>-201.96575455613282</v>
      </c>
    </row>
    <row r="206" ht="14.25">
      <c r="A206">
        <v>-46</v>
      </c>
      <c r="B206">
        <f t="shared" si="44"/>
        <v>-13.800000000000001</v>
      </c>
      <c r="E206">
        <f t="shared" si="45"/>
        <v>-0.73140000000000005</v>
      </c>
      <c r="F206">
        <f t="shared" si="46"/>
        <v>-0.73140000000000005</v>
      </c>
      <c r="G206">
        <f t="shared" si="47"/>
        <v>215.53410868695821</v>
      </c>
      <c r="H206">
        <f t="shared" si="48"/>
        <v>215.53410868695821</v>
      </c>
      <c r="I206">
        <f t="shared" si="49"/>
        <v>-12.711339985689078</v>
      </c>
      <c r="J206">
        <f t="shared" si="50"/>
        <v>215.90861532535772</v>
      </c>
      <c r="K206" s="5">
        <f t="shared" si="51"/>
        <v>29.004721005892755</v>
      </c>
      <c r="N206" s="5">
        <f t="shared" si="52"/>
        <v>-82.799999999999997</v>
      </c>
      <c r="O206" s="5">
        <f t="shared" si="53"/>
        <v>-139.88817288534136</v>
      </c>
      <c r="P206" s="6">
        <f t="shared" si="54"/>
        <v>17.671985932566933</v>
      </c>
      <c r="Q206" s="6"/>
      <c r="R206" s="6">
        <f t="shared" si="55"/>
        <v>215.32619411416056</v>
      </c>
      <c r="S206" s="6">
        <f t="shared" si="56"/>
        <v>0.93661525442604743</v>
      </c>
      <c r="T206" s="6">
        <f t="shared" si="57"/>
        <v>0.93661525442604743</v>
      </c>
      <c r="U206" s="6">
        <f t="shared" si="58"/>
        <v>225.91166065916522</v>
      </c>
      <c r="V206" s="6">
        <f t="shared" si="59"/>
        <v>225.91166065916522</v>
      </c>
      <c r="W206" s="6">
        <f t="shared" si="60"/>
        <v>84.729211048130423</v>
      </c>
      <c r="X206" s="6">
        <f t="shared" si="61"/>
        <v>241.27809189112145</v>
      </c>
      <c r="Y206" s="6">
        <f t="shared" si="62"/>
        <v>-202.87087132817092</v>
      </c>
    </row>
    <row r="207" ht="14.25">
      <c r="A207">
        <v>-47</v>
      </c>
      <c r="B207">
        <f t="shared" si="44"/>
        <v>-14.1</v>
      </c>
      <c r="E207">
        <f t="shared" si="45"/>
        <v>-0.74729999999999996</v>
      </c>
      <c r="F207">
        <f t="shared" si="46"/>
        <v>-0.74729999999999996</v>
      </c>
      <c r="G207">
        <f t="shared" si="47"/>
        <v>215.35440958717285</v>
      </c>
      <c r="H207">
        <f t="shared" si="48"/>
        <v>215.35440958717285</v>
      </c>
      <c r="I207">
        <f t="shared" si="49"/>
        <v>-12.727239985689076</v>
      </c>
      <c r="J207">
        <f t="shared" si="50"/>
        <v>215.73016563821835</v>
      </c>
      <c r="K207" s="5">
        <f t="shared" si="51"/>
        <v>29.004721005892755</v>
      </c>
      <c r="N207" s="5">
        <f t="shared" si="52"/>
        <v>-84.599999999999994</v>
      </c>
      <c r="O207" s="5">
        <f t="shared" si="53"/>
        <v>-140.37423700903429</v>
      </c>
      <c r="P207" s="6">
        <f t="shared" si="54"/>
        <v>13.269272177910546</v>
      </c>
      <c r="Q207" s="6"/>
      <c r="R207" s="6">
        <f t="shared" si="55"/>
        <v>215.30043271560484</v>
      </c>
      <c r="S207" s="6">
        <f t="shared" si="56"/>
        <v>0.70327142542925891</v>
      </c>
      <c r="T207" s="6">
        <f t="shared" si="57"/>
        <v>0.70327142542925891</v>
      </c>
      <c r="U207" s="6">
        <f t="shared" si="58"/>
        <v>223.24868693286194</v>
      </c>
      <c r="V207" s="6">
        <f t="shared" si="59"/>
        <v>223.24868693286194</v>
      </c>
      <c r="W207" s="6">
        <f t="shared" si="60"/>
        <v>84.787018170685528</v>
      </c>
      <c r="X207" s="6">
        <f t="shared" si="61"/>
        <v>238.8070657822401</v>
      </c>
      <c r="Y207" s="6">
        <f t="shared" si="62"/>
        <v>-203.57577904310529</v>
      </c>
    </row>
    <row r="208" ht="14.25">
      <c r="A208">
        <v>-48</v>
      </c>
      <c r="B208">
        <f t="shared" si="44"/>
        <v>-14.4</v>
      </c>
      <c r="E208">
        <f t="shared" si="45"/>
        <v>-0.76319999999999999</v>
      </c>
      <c r="F208">
        <f t="shared" si="46"/>
        <v>-0.76319999999999999</v>
      </c>
      <c r="G208">
        <f t="shared" si="47"/>
        <v>215.17471048738753</v>
      </c>
      <c r="H208">
        <f t="shared" si="48"/>
        <v>215.17471048738753</v>
      </c>
      <c r="I208">
        <f t="shared" si="49"/>
        <v>-12.743139985689076</v>
      </c>
      <c r="J208">
        <f t="shared" si="50"/>
        <v>215.55171919988462</v>
      </c>
      <c r="K208" s="5">
        <f t="shared" si="51"/>
        <v>29.004721005892755</v>
      </c>
      <c r="N208" s="5">
        <f t="shared" si="52"/>
        <v>-86.400000000000006</v>
      </c>
      <c r="O208" s="5">
        <f t="shared" si="53"/>
        <v>-140.72176870838629</v>
      </c>
      <c r="P208" s="6">
        <f t="shared" si="54"/>
        <v>8.8534632536331763</v>
      </c>
      <c r="Q208" s="6"/>
      <c r="R208" s="6">
        <f t="shared" si="55"/>
        <v>215.28201353553919</v>
      </c>
      <c r="S208" s="6">
        <f t="shared" si="56"/>
        <v>0.46923355244255832</v>
      </c>
      <c r="T208" s="6">
        <f t="shared" si="57"/>
        <v>0.46923355244255832</v>
      </c>
      <c r="U208" s="6">
        <f t="shared" si="58"/>
        <v>220.58521145774066</v>
      </c>
      <c r="V208" s="6">
        <f t="shared" si="59"/>
        <v>220.58521145774066</v>
      </c>
      <c r="W208" s="6">
        <f t="shared" si="60"/>
        <v>84.761150742766901</v>
      </c>
      <c r="X208" s="6">
        <f t="shared" si="61"/>
        <v>236.30972935766783</v>
      </c>
      <c r="Y208" s="6">
        <f t="shared" si="62"/>
        <v>-204.07978204212571</v>
      </c>
    </row>
    <row r="209" ht="14.25">
      <c r="A209">
        <v>-49</v>
      </c>
      <c r="B209">
        <f t="shared" si="44"/>
        <v>-14.699999999999999</v>
      </c>
      <c r="E209">
        <f t="shared" si="45"/>
        <v>-0.7790999999999999</v>
      </c>
      <c r="F209">
        <f t="shared" si="46"/>
        <v>-0.7790999999999999</v>
      </c>
      <c r="G209">
        <f t="shared" si="47"/>
        <v>214.9950113876022</v>
      </c>
      <c r="H209">
        <f t="shared" si="48"/>
        <v>214.9950113876022</v>
      </c>
      <c r="I209">
        <f t="shared" si="49"/>
        <v>-12.759039985689077</v>
      </c>
      <c r="J209">
        <f t="shared" si="50"/>
        <v>215.37327601843182</v>
      </c>
      <c r="K209" s="5">
        <f t="shared" si="51"/>
        <v>29.004721005892755</v>
      </c>
      <c r="N209" s="5">
        <f t="shared" si="52"/>
        <v>-88.200000000000003</v>
      </c>
      <c r="O209" s="5">
        <f t="shared" si="53"/>
        <v>-140.93042501156816</v>
      </c>
      <c r="P209" s="6">
        <f t="shared" si="54"/>
        <v>4.4289170300161036</v>
      </c>
      <c r="Q209" s="6"/>
      <c r="R209" s="6">
        <f t="shared" si="55"/>
        <v>215.27095475147055</v>
      </c>
      <c r="S209" s="6">
        <f t="shared" si="56"/>
        <v>0.23473260259085349</v>
      </c>
      <c r="T209" s="6">
        <f t="shared" si="57"/>
        <v>0.23473260259085349</v>
      </c>
      <c r="U209" s="6">
        <f t="shared" si="58"/>
        <v>217.92386276253001</v>
      </c>
      <c r="V209" s="6">
        <f t="shared" si="59"/>
        <v>217.92386276253001</v>
      </c>
      <c r="W209" s="6">
        <f t="shared" si="60"/>
        <v>84.651634292402917</v>
      </c>
      <c r="X209" s="6">
        <f t="shared" si="61"/>
        <v>233.78774379705354</v>
      </c>
      <c r="Y209" s="6">
        <f t="shared" si="62"/>
        <v>-204.38238293512126</v>
      </c>
    </row>
    <row r="210" ht="14.25">
      <c r="A210">
        <v>-50</v>
      </c>
      <c r="B210">
        <f t="shared" si="44"/>
        <v>-15</v>
      </c>
      <c r="E210">
        <f t="shared" si="45"/>
        <v>-0.79499999999999993</v>
      </c>
      <c r="F210">
        <f t="shared" si="46"/>
        <v>-0.79499999999999993</v>
      </c>
      <c r="G210">
        <f t="shared" si="47"/>
        <v>214.81531228781685</v>
      </c>
      <c r="H210">
        <f t="shared" si="48"/>
        <v>214.81531228781685</v>
      </c>
      <c r="I210">
        <f t="shared" si="49"/>
        <v>-12.774939985689077</v>
      </c>
      <c r="J210">
        <f t="shared" si="50"/>
        <v>215.1948361019619</v>
      </c>
      <c r="K210" s="5">
        <f t="shared" si="51"/>
        <v>29.004721005892755</v>
      </c>
      <c r="N210" s="5">
        <f t="shared" si="52"/>
        <v>-90</v>
      </c>
      <c r="O210" s="5">
        <f t="shared" si="53"/>
        <v>-141</v>
      </c>
      <c r="P210" s="6">
        <f t="shared" si="54"/>
        <v>8.6337599339888406e-15</v>
      </c>
      <c r="Q210" s="6"/>
      <c r="R210" s="6">
        <f t="shared" si="55"/>
        <v>215.26726727708365</v>
      </c>
      <c r="S210" s="6">
        <f t="shared" si="56"/>
        <v>4.5758927650140853e-16</v>
      </c>
      <c r="T210" s="6">
        <f t="shared" si="57"/>
        <v>4.5758927650140853e-16</v>
      </c>
      <c r="U210" s="6">
        <f t="shared" si="58"/>
        <v>215.26726727708365</v>
      </c>
      <c r="V210" s="6">
        <f t="shared" si="59"/>
        <v>215.26726727708365</v>
      </c>
      <c r="W210" s="6">
        <f t="shared" si="60"/>
        <v>84.458576899107996</v>
      </c>
      <c r="X210" s="6">
        <f t="shared" si="61"/>
        <v>231.24283247868658</v>
      </c>
      <c r="Y210" s="6">
        <f t="shared" si="62"/>
        <v>-204.48328309154394</v>
      </c>
    </row>
    <row r="211" ht="14.25">
      <c r="A211">
        <v>-51</v>
      </c>
      <c r="B211">
        <f t="shared" si="44"/>
        <v>-15.300000000000001</v>
      </c>
      <c r="E211">
        <f t="shared" si="45"/>
        <v>-0.81090000000000007</v>
      </c>
      <c r="F211">
        <f t="shared" si="46"/>
        <v>-0.81090000000000007</v>
      </c>
      <c r="G211">
        <f t="shared" si="47"/>
        <v>214.63561318803153</v>
      </c>
      <c r="H211">
        <f t="shared" si="48"/>
        <v>214.63561318803153</v>
      </c>
      <c r="I211">
        <f t="shared" si="49"/>
        <v>-12.790839985689077</v>
      </c>
      <c r="J211">
        <f t="shared" si="50"/>
        <v>215.01639945860362</v>
      </c>
      <c r="K211" s="5">
        <f t="shared" si="51"/>
        <v>29.004721005892755</v>
      </c>
      <c r="N211" s="5">
        <f t="shared" si="52"/>
        <v>-91.799999999999997</v>
      </c>
      <c r="O211" s="5">
        <f t="shared" si="53"/>
        <v>-140.93042501156816</v>
      </c>
      <c r="P211" s="6">
        <f t="shared" si="54"/>
        <v>-4.4289170300160876</v>
      </c>
      <c r="Q211" s="6"/>
      <c r="R211" s="6">
        <f t="shared" si="55"/>
        <v>215.27095475147055</v>
      </c>
      <c r="S211" s="6">
        <f t="shared" si="56"/>
        <v>-0.23473260259085263</v>
      </c>
      <c r="T211" s="6">
        <f t="shared" si="57"/>
        <v>-0.23473260259085263</v>
      </c>
      <c r="U211" s="6">
        <f t="shared" si="58"/>
        <v>212.6180467404111</v>
      </c>
      <c r="V211" s="6">
        <f t="shared" si="59"/>
        <v>212.6180467404111</v>
      </c>
      <c r="W211" s="6">
        <f t="shared" si="60"/>
        <v>84.182169087221212</v>
      </c>
      <c r="X211" s="6">
        <f t="shared" si="61"/>
        <v>228.67678367498775</v>
      </c>
      <c r="Y211" s="6">
        <f t="shared" si="62"/>
        <v>-204.38238293512126</v>
      </c>
    </row>
    <row r="212" ht="14.25">
      <c r="A212">
        <v>-52</v>
      </c>
      <c r="B212">
        <f t="shared" si="44"/>
        <v>-15.6</v>
      </c>
      <c r="E212">
        <f t="shared" si="45"/>
        <v>-0.82679999999999998</v>
      </c>
      <c r="F212">
        <f t="shared" si="46"/>
        <v>-0.82679999999999998</v>
      </c>
      <c r="G212">
        <f t="shared" si="47"/>
        <v>214.45591408824617</v>
      </c>
      <c r="H212">
        <f t="shared" si="48"/>
        <v>214.45591408824617</v>
      </c>
      <c r="I212">
        <f t="shared" si="49"/>
        <v>-12.806739985689077</v>
      </c>
      <c r="J212">
        <f t="shared" si="50"/>
        <v>214.83796609651253</v>
      </c>
      <c r="K212" s="5">
        <f t="shared" si="51"/>
        <v>29.004721005892755</v>
      </c>
      <c r="N212" s="5">
        <f t="shared" si="52"/>
        <v>-93.599999999999994</v>
      </c>
      <c r="O212" s="5">
        <f t="shared" si="53"/>
        <v>-140.72176870838629</v>
      </c>
      <c r="P212" s="6">
        <f t="shared" si="54"/>
        <v>-8.8534632536331888</v>
      </c>
      <c r="Q212" s="6"/>
      <c r="R212" s="6">
        <f t="shared" si="55"/>
        <v>215.28201353553919</v>
      </c>
      <c r="S212" s="6">
        <f t="shared" si="56"/>
        <v>-0.46923355244255899</v>
      </c>
      <c r="T212" s="6">
        <f t="shared" si="57"/>
        <v>-0.46923355244255899</v>
      </c>
      <c r="U212" s="6">
        <f t="shared" si="58"/>
        <v>209.97881561333773</v>
      </c>
      <c r="V212" s="6">
        <f t="shared" si="59"/>
        <v>209.97881561333773</v>
      </c>
      <c r="W212" s="6">
        <f t="shared" si="60"/>
        <v>83.822683637881781</v>
      </c>
      <c r="X212" s="6">
        <f t="shared" si="61"/>
        <v>226.09145339582497</v>
      </c>
      <c r="Y212" s="6">
        <f t="shared" si="62"/>
        <v>-204.07978204212571</v>
      </c>
    </row>
    <row r="213" ht="14.25">
      <c r="A213">
        <v>-53</v>
      </c>
      <c r="B213">
        <f t="shared" si="44"/>
        <v>-15.9</v>
      </c>
      <c r="E213">
        <f t="shared" si="45"/>
        <v>-0.8427</v>
      </c>
      <c r="F213">
        <f t="shared" si="46"/>
        <v>-0.8427</v>
      </c>
      <c r="G213">
        <f t="shared" si="47"/>
        <v>214.27621498846085</v>
      </c>
      <c r="H213">
        <f t="shared" si="48"/>
        <v>214.27621498846085</v>
      </c>
      <c r="I213">
        <f t="shared" si="49"/>
        <v>-12.822639985689078</v>
      </c>
      <c r="J213">
        <f t="shared" si="50"/>
        <v>214.65953602387125</v>
      </c>
      <c r="K213" s="5">
        <f t="shared" si="51"/>
        <v>29.004721005892755</v>
      </c>
      <c r="N213" s="5">
        <f t="shared" si="52"/>
        <v>-95.400000000000006</v>
      </c>
      <c r="O213" s="5">
        <f t="shared" si="53"/>
        <v>-140.37423700903429</v>
      </c>
      <c r="P213" s="6">
        <f t="shared" si="54"/>
        <v>-13.269272177910528</v>
      </c>
      <c r="Q213" s="6"/>
      <c r="R213" s="6">
        <f t="shared" si="55"/>
        <v>215.30043271560484</v>
      </c>
      <c r="S213" s="6">
        <f t="shared" si="56"/>
        <v>-0.70327142542925791</v>
      </c>
      <c r="T213" s="6">
        <f t="shared" si="57"/>
        <v>-0.70327142542925791</v>
      </c>
      <c r="U213" s="6">
        <f t="shared" si="58"/>
        <v>207.35217849834774</v>
      </c>
      <c r="V213" s="6">
        <f t="shared" si="59"/>
        <v>207.35217849834774</v>
      </c>
      <c r="W213" s="6">
        <f t="shared" si="60"/>
        <v>83.380475319826999</v>
      </c>
      <c r="X213" s="6">
        <f t="shared" si="61"/>
        <v>223.48876838125656</v>
      </c>
      <c r="Y213" s="6">
        <f t="shared" si="62"/>
        <v>-203.57577904310529</v>
      </c>
    </row>
    <row r="214" ht="14.25">
      <c r="A214">
        <v>-54</v>
      </c>
      <c r="B214">
        <f t="shared" si="44"/>
        <v>-16.199999999999999</v>
      </c>
      <c r="E214">
        <f t="shared" si="45"/>
        <v>-0.85859999999999992</v>
      </c>
      <c r="F214">
        <f t="shared" si="46"/>
        <v>-0.85859999999999992</v>
      </c>
      <c r="G214">
        <f t="shared" si="47"/>
        <v>214.09651588867553</v>
      </c>
      <c r="H214">
        <f t="shared" si="48"/>
        <v>214.09651588867553</v>
      </c>
      <c r="I214">
        <f t="shared" si="49"/>
        <v>-12.838539985689076</v>
      </c>
      <c r="J214">
        <f t="shared" si="50"/>
        <v>214.4811092488894</v>
      </c>
      <c r="K214" s="5">
        <f t="shared" si="51"/>
        <v>29.004721005892755</v>
      </c>
      <c r="N214" s="5">
        <f t="shared" si="52"/>
        <v>-97.200000000000003</v>
      </c>
      <c r="O214" s="5">
        <f t="shared" si="53"/>
        <v>-139.88817288534136</v>
      </c>
      <c r="P214" s="6">
        <f t="shared" si="54"/>
        <v>-17.671985932566916</v>
      </c>
      <c r="Q214" s="6"/>
      <c r="R214" s="6">
        <f t="shared" si="55"/>
        <v>215.32619411416056</v>
      </c>
      <c r="S214" s="6">
        <f t="shared" si="56"/>
        <v>-0.93661525442604654</v>
      </c>
      <c r="T214" s="6">
        <f t="shared" si="57"/>
        <v>-0.93661525442604654</v>
      </c>
      <c r="U214" s="6">
        <f t="shared" si="58"/>
        <v>204.74072756915589</v>
      </c>
      <c r="V214" s="6">
        <f t="shared" si="59"/>
        <v>204.74072756915589</v>
      </c>
      <c r="W214" s="6">
        <f t="shared" si="60"/>
        <v>82.855980539278335</v>
      </c>
      <c r="X214" s="6">
        <f t="shared" si="61"/>
        <v>220.87072924376508</v>
      </c>
      <c r="Y214" s="6">
        <f t="shared" si="62"/>
        <v>-202.87087132817092</v>
      </c>
    </row>
    <row r="215" ht="14.25">
      <c r="A215">
        <v>-55</v>
      </c>
      <c r="B215">
        <f t="shared" si="44"/>
        <v>-16.5</v>
      </c>
      <c r="E215">
        <f t="shared" si="45"/>
        <v>-0.87449999999999994</v>
      </c>
      <c r="F215">
        <f t="shared" si="46"/>
        <v>-0.87449999999999994</v>
      </c>
      <c r="G215">
        <f t="shared" si="47"/>
        <v>213.91681678889017</v>
      </c>
      <c r="H215">
        <f t="shared" si="48"/>
        <v>213.91681678889017</v>
      </c>
      <c r="I215">
        <f t="shared" si="49"/>
        <v>-12.854439985689076</v>
      </c>
      <c r="J215">
        <f t="shared" si="50"/>
        <v>214.30268577980371</v>
      </c>
      <c r="K215" s="5">
        <f t="shared" si="51"/>
        <v>29.004721005892755</v>
      </c>
      <c r="N215" s="5">
        <f t="shared" si="52"/>
        <v>-99</v>
      </c>
      <c r="O215" s="5">
        <f t="shared" si="53"/>
        <v>-139.26405602391441</v>
      </c>
      <c r="P215" s="6">
        <f t="shared" si="54"/>
        <v>-22.057259570672574</v>
      </c>
      <c r="Q215" s="6"/>
      <c r="R215" s="6">
        <f t="shared" si="55"/>
        <v>215.35927230781618</v>
      </c>
      <c r="S215" s="6">
        <f t="shared" si="56"/>
        <v>-1.1690347572456463</v>
      </c>
      <c r="T215" s="6">
        <f t="shared" si="57"/>
        <v>-1.1690347572456463</v>
      </c>
      <c r="U215" s="6">
        <f t="shared" si="58"/>
        <v>202.14704001254501</v>
      </c>
      <c r="V215" s="6">
        <f t="shared" si="59"/>
        <v>202.14704001254501</v>
      </c>
      <c r="W215" s="6">
        <f t="shared" si="60"/>
        <v>82.249716909261153</v>
      </c>
      <c r="X215" s="6">
        <f t="shared" si="61"/>
        <v>218.23941375811813</v>
      </c>
      <c r="Y215" s="6">
        <f t="shared" si="62"/>
        <v>-201.96575455613279</v>
      </c>
    </row>
    <row r="216" ht="14.25">
      <c r="A216">
        <v>-56</v>
      </c>
      <c r="B216">
        <f t="shared" si="44"/>
        <v>-16.800000000000001</v>
      </c>
      <c r="E216">
        <f t="shared" si="45"/>
        <v>-0.89039999999999997</v>
      </c>
      <c r="F216">
        <f t="shared" si="46"/>
        <v>-0.89039999999999997</v>
      </c>
      <c r="G216">
        <f t="shared" si="47"/>
        <v>213.73711768910485</v>
      </c>
      <c r="H216">
        <f t="shared" si="48"/>
        <v>213.73711768910485</v>
      </c>
      <c r="I216">
        <f t="shared" si="49"/>
        <v>-12.870339985689077</v>
      </c>
      <c r="J216">
        <f t="shared" si="50"/>
        <v>214.1242656248784</v>
      </c>
      <c r="K216" s="5">
        <f t="shared" si="51"/>
        <v>29.004721005892755</v>
      </c>
      <c r="N216" s="5">
        <f t="shared" si="52"/>
        <v>-100.8</v>
      </c>
      <c r="O216" s="5">
        <f t="shared" si="53"/>
        <v>-138.5025023527451</v>
      </c>
      <c r="P216" s="6">
        <f t="shared" si="54"/>
        <v>-26.420765356587136</v>
      </c>
      <c r="Q216" s="6"/>
      <c r="R216" s="6">
        <f t="shared" si="55"/>
        <v>215.39963465238816</v>
      </c>
      <c r="S216" s="6">
        <f t="shared" si="56"/>
        <v>-1.4003005638991182</v>
      </c>
      <c r="T216" s="6">
        <f t="shared" si="57"/>
        <v>-1.4003005638991182</v>
      </c>
      <c r="U216" s="6">
        <f t="shared" si="58"/>
        <v>199.5736754849938</v>
      </c>
      <c r="V216" s="6">
        <f t="shared" si="59"/>
        <v>199.5736754849938</v>
      </c>
      <c r="W216" s="6">
        <f t="shared" si="60"/>
        <v>81.562282738783196</v>
      </c>
      <c r="X216" s="6">
        <f t="shared" si="61"/>
        <v>215.59698029460156</v>
      </c>
      <c r="Y216" s="6">
        <f t="shared" si="62"/>
        <v>-200.86132196796882</v>
      </c>
    </row>
    <row r="217" ht="14.25">
      <c r="A217">
        <v>-57</v>
      </c>
      <c r="B217">
        <f t="shared" si="44"/>
        <v>-17.100000000000001</v>
      </c>
      <c r="E217">
        <f t="shared" si="45"/>
        <v>-0.90629999999999999</v>
      </c>
      <c r="F217">
        <f t="shared" si="46"/>
        <v>-0.90629999999999999</v>
      </c>
      <c r="G217">
        <f t="shared" si="47"/>
        <v>213.5574185893195</v>
      </c>
      <c r="H217">
        <f t="shared" si="48"/>
        <v>213.5574185893195</v>
      </c>
      <c r="I217">
        <f t="shared" si="49"/>
        <v>-12.886239985689077</v>
      </c>
      <c r="J217">
        <f t="shared" si="50"/>
        <v>213.94584879240495</v>
      </c>
      <c r="K217" s="5">
        <f t="shared" si="51"/>
        <v>29.004721005892755</v>
      </c>
      <c r="N217" s="5">
        <f t="shared" si="52"/>
        <v>-102.59999999999999</v>
      </c>
      <c r="O217" s="5">
        <f t="shared" si="53"/>
        <v>-137.6042634333634</v>
      </c>
      <c r="P217" s="6">
        <f t="shared" si="54"/>
        <v>-30.75819703691247</v>
      </c>
      <c r="Q217" s="6"/>
      <c r="R217" s="6">
        <f t="shared" si="55"/>
        <v>215.44724131511541</v>
      </c>
      <c r="S217" s="6">
        <f t="shared" si="56"/>
        <v>-1.6301844429563608</v>
      </c>
      <c r="T217" s="6">
        <f t="shared" si="57"/>
        <v>-1.6301844429563608</v>
      </c>
      <c r="U217" s="6">
        <f t="shared" si="58"/>
        <v>197.02317358660486</v>
      </c>
      <c r="V217" s="6">
        <f t="shared" si="59"/>
        <v>197.02317358660486</v>
      </c>
      <c r="W217" s="6">
        <f t="shared" si="60"/>
        <v>80.794356442375815</v>
      </c>
      <c r="X217" s="6">
        <f t="shared" si="61"/>
        <v>212.94567138844383</v>
      </c>
      <c r="Y217" s="6">
        <f t="shared" si="62"/>
        <v>-199.5586635053038</v>
      </c>
    </row>
    <row r="218" ht="14.25">
      <c r="A218">
        <v>-58</v>
      </c>
      <c r="B218">
        <f t="shared" si="44"/>
        <v>-17.399999999999999</v>
      </c>
      <c r="E218">
        <f t="shared" si="45"/>
        <v>-0.92219999999999991</v>
      </c>
      <c r="F218">
        <f t="shared" si="46"/>
        <v>-0.92219999999999991</v>
      </c>
      <c r="G218">
        <f t="shared" si="47"/>
        <v>213.37771948953417</v>
      </c>
      <c r="H218">
        <f t="shared" si="48"/>
        <v>213.37771948953417</v>
      </c>
      <c r="I218">
        <f t="shared" si="49"/>
        <v>-12.902139985689077</v>
      </c>
      <c r="J218">
        <f t="shared" si="50"/>
        <v>213.76743529070242</v>
      </c>
      <c r="K218" s="5">
        <f t="shared" si="51"/>
        <v>29.004721005892755</v>
      </c>
      <c r="N218" s="5">
        <f t="shared" si="52"/>
        <v>-104.40000000000001</v>
      </c>
      <c r="O218" s="5">
        <f t="shared" si="53"/>
        <v>-136.57022571913697</v>
      </c>
      <c r="P218" s="6">
        <f t="shared" si="54"/>
        <v>-35.065274090244536</v>
      </c>
      <c r="Q218" s="6"/>
      <c r="R218" s="6">
        <f t="shared" si="55"/>
        <v>215.5020453139694</v>
      </c>
      <c r="S218" s="6">
        <f t="shared" si="56"/>
        <v>-1.8584595267829604</v>
      </c>
      <c r="T218" s="6">
        <f t="shared" si="57"/>
        <v>-1.8584595267829604</v>
      </c>
      <c r="U218" s="6">
        <f t="shared" si="58"/>
        <v>194.49805135482603</v>
      </c>
      <c r="V218" s="6">
        <f t="shared" si="59"/>
        <v>194.49805135482603</v>
      </c>
      <c r="W218" s="6">
        <f t="shared" si="60"/>
        <v>79.946695870580612</v>
      </c>
      <c r="X218" s="6">
        <f t="shared" si="61"/>
        <v>210.28781743469511</v>
      </c>
      <c r="Y218" s="6">
        <f t="shared" si="62"/>
        <v>-198.05906473476838</v>
      </c>
    </row>
    <row r="219" ht="14.25">
      <c r="A219">
        <v>-59</v>
      </c>
      <c r="B219">
        <f t="shared" si="44"/>
        <v>-17.699999999999999</v>
      </c>
      <c r="E219">
        <f t="shared" si="45"/>
        <v>-0.93809999999999993</v>
      </c>
      <c r="F219">
        <f t="shared" si="46"/>
        <v>-0.93809999999999993</v>
      </c>
      <c r="G219">
        <f t="shared" si="47"/>
        <v>213.19802038974882</v>
      </c>
      <c r="H219">
        <f t="shared" si="48"/>
        <v>213.19802038974882</v>
      </c>
      <c r="I219">
        <f t="shared" si="49"/>
        <v>-12.918039985689077</v>
      </c>
      <c r="J219">
        <f t="shared" si="50"/>
        <v>213.5890251281175</v>
      </c>
      <c r="K219" s="5">
        <f t="shared" si="51"/>
        <v>29.004721005892755</v>
      </c>
      <c r="N219" s="5">
        <f t="shared" si="52"/>
        <v>-106.2</v>
      </c>
      <c r="O219" s="5">
        <f t="shared" si="53"/>
        <v>-135.40140968044898</v>
      </c>
      <c r="P219" s="6">
        <f t="shared" si="54"/>
        <v>-39.337745951531311</v>
      </c>
      <c r="Q219" s="6"/>
      <c r="R219" s="6">
        <f t="shared" si="55"/>
        <v>215.56399256401986</v>
      </c>
      <c r="S219" s="6">
        <f t="shared" si="56"/>
        <v>-2.0849005354311596</v>
      </c>
      <c r="T219" s="6">
        <f t="shared" si="57"/>
        <v>-2.0849005354311596</v>
      </c>
      <c r="U219" s="6">
        <f t="shared" si="58"/>
        <v>192.00080078043842</v>
      </c>
      <c r="V219" s="6">
        <f t="shared" si="59"/>
        <v>192.00080078043842</v>
      </c>
      <c r="W219" s="6">
        <f t="shared" si="60"/>
        <v>79.020137562042777</v>
      </c>
      <c r="X219" s="6">
        <f t="shared" si="61"/>
        <v>207.62584049355169</v>
      </c>
      <c r="Y219" s="6">
        <f t="shared" si="62"/>
        <v>-196.36400557930048</v>
      </c>
    </row>
    <row r="220" ht="14.25">
      <c r="A220">
        <v>-60</v>
      </c>
      <c r="B220">
        <f t="shared" si="44"/>
        <v>-18</v>
      </c>
      <c r="E220">
        <f t="shared" si="45"/>
        <v>-0.95399999999999996</v>
      </c>
      <c r="F220">
        <f t="shared" si="46"/>
        <v>-0.95399999999999996</v>
      </c>
      <c r="G220">
        <f t="shared" si="47"/>
        <v>213.0183212899635</v>
      </c>
      <c r="H220">
        <f t="shared" si="48"/>
        <v>213.0183212899635</v>
      </c>
      <c r="I220">
        <f t="shared" si="49"/>
        <v>-12.933939985689078</v>
      </c>
      <c r="J220">
        <f t="shared" si="50"/>
        <v>213.41061831302471</v>
      </c>
      <c r="K220" s="5">
        <f t="shared" si="51"/>
        <v>29.004721005892755</v>
      </c>
      <c r="N220" s="5">
        <f t="shared" si="52"/>
        <v>-108</v>
      </c>
      <c r="O220" s="5">
        <f t="shared" si="53"/>
        <v>-134.09896879761666</v>
      </c>
      <c r="P220" s="6">
        <f t="shared" si="54"/>
        <v>-43.571396206867576</v>
      </c>
      <c r="Q220" s="6"/>
      <c r="R220" s="6">
        <f t="shared" si="55"/>
        <v>215.63302193080997</v>
      </c>
      <c r="S220" s="6">
        <f t="shared" si="56"/>
        <v>-2.3092839989639815</v>
      </c>
      <c r="T220" s="6">
        <f t="shared" si="57"/>
        <v>-2.3092839989639815</v>
      </c>
      <c r="U220" s="6">
        <f t="shared" si="58"/>
        <v>189.53388634826226</v>
      </c>
      <c r="V220" s="6">
        <f t="shared" si="59"/>
        <v>189.53388634826226</v>
      </c>
      <c r="W220" s="6">
        <f t="shared" si="60"/>
        <v>78.015595917948005</v>
      </c>
      <c r="X220" s="6">
        <f t="shared" si="61"/>
        <v>204.96225818600979</v>
      </c>
      <c r="Y220" s="6">
        <f t="shared" si="62"/>
        <v>-194.47515885763946</v>
      </c>
    </row>
    <row r="221" ht="14.25">
      <c r="A221">
        <v>-61</v>
      </c>
      <c r="B221">
        <f t="shared" si="44"/>
        <v>-18.300000000000001</v>
      </c>
      <c r="E221">
        <f t="shared" si="45"/>
        <v>-0.96989999999999998</v>
      </c>
      <c r="F221">
        <f t="shared" si="46"/>
        <v>-0.96989999999999998</v>
      </c>
      <c r="G221">
        <f t="shared" si="47"/>
        <v>212.83862219017817</v>
      </c>
      <c r="H221">
        <f t="shared" si="48"/>
        <v>212.83862219017817</v>
      </c>
      <c r="I221">
        <f t="shared" si="49"/>
        <v>-12.949839985689078</v>
      </c>
      <c r="J221">
        <f t="shared" si="50"/>
        <v>213.23221485382635</v>
      </c>
      <c r="K221" s="5">
        <f t="shared" si="51"/>
        <v>29.004721005892755</v>
      </c>
      <c r="N221" s="5">
        <f t="shared" si="52"/>
        <v>-109.8</v>
      </c>
      <c r="O221" s="5">
        <f t="shared" si="53"/>
        <v>-132.66418842254578</v>
      </c>
      <c r="P221" s="6">
        <f t="shared" si="54"/>
        <v>-47.762046754586081</v>
      </c>
      <c r="Q221" s="6"/>
      <c r="R221" s="6">
        <f t="shared" si="55"/>
        <v>215.70906529068873</v>
      </c>
      <c r="S221" s="6">
        <f t="shared" si="56"/>
        <v>-2.5313884779930622</v>
      </c>
      <c r="T221" s="6">
        <f t="shared" si="57"/>
        <v>-2.5313884779930622</v>
      </c>
      <c r="U221" s="6">
        <f t="shared" si="58"/>
        <v>187.09974260500789</v>
      </c>
      <c r="V221" s="6">
        <f t="shared" si="59"/>
        <v>187.09974260500789</v>
      </c>
      <c r="W221" s="6">
        <f t="shared" si="60"/>
        <v>76.934062299619242</v>
      </c>
      <c r="X221" s="6">
        <f t="shared" si="61"/>
        <v>202.29968765369338</v>
      </c>
      <c r="Y221" s="6">
        <f t="shared" si="62"/>
        <v>-192.39438863345643</v>
      </c>
    </row>
    <row r="222" ht="14.25">
      <c r="A222">
        <v>-62</v>
      </c>
      <c r="B222">
        <f t="shared" si="44"/>
        <v>-18.600000000000001</v>
      </c>
      <c r="E222">
        <f t="shared" si="45"/>
        <v>-0.98580000000000001</v>
      </c>
      <c r="F222">
        <f t="shared" si="46"/>
        <v>-0.98580000000000001</v>
      </c>
      <c r="G222">
        <f t="shared" si="47"/>
        <v>212.65892309039282</v>
      </c>
      <c r="H222">
        <f t="shared" si="48"/>
        <v>212.65892309039282</v>
      </c>
      <c r="I222">
        <f t="shared" si="49"/>
        <v>-12.965739985689076</v>
      </c>
      <c r="J222">
        <f t="shared" si="50"/>
        <v>213.05381475895263</v>
      </c>
      <c r="K222" s="5">
        <f t="shared" si="51"/>
        <v>29.004721005892755</v>
      </c>
      <c r="N222" s="5">
        <f t="shared" si="52"/>
        <v>-111.59999999999999</v>
      </c>
      <c r="O222" s="5">
        <f t="shared" si="53"/>
        <v>-131.09848451024345</v>
      </c>
      <c r="P222" s="6">
        <f t="shared" si="54"/>
        <v>-51.905561928539598</v>
      </c>
      <c r="Q222" s="6"/>
      <c r="R222" s="6">
        <f t="shared" si="55"/>
        <v>215.79204759804077</v>
      </c>
      <c r="S222" s="6">
        <f t="shared" si="56"/>
        <v>-2.7509947822125986</v>
      </c>
      <c r="T222" s="6">
        <f t="shared" si="57"/>
        <v>-2.7509947822125986</v>
      </c>
      <c r="U222" s="6">
        <f t="shared" si="58"/>
        <v>184.70077175667217</v>
      </c>
      <c r="V222" s="6">
        <f t="shared" si="59"/>
        <v>184.70077175667217</v>
      </c>
      <c r="W222" s="6">
        <f t="shared" si="60"/>
        <v>75.776604050162675</v>
      </c>
      <c r="X222" s="6">
        <f t="shared" si="61"/>
        <v>199.64084954959853</v>
      </c>
      <c r="Y222" s="6">
        <f t="shared" si="62"/>
        <v>-190.12374837574822</v>
      </c>
    </row>
    <row r="223" ht="14.25">
      <c r="A223">
        <v>-63</v>
      </c>
      <c r="B223">
        <f t="shared" si="44"/>
        <v>-18.899999999999999</v>
      </c>
      <c r="E223">
        <f t="shared" si="45"/>
        <v>-1.0016999999999998</v>
      </c>
      <c r="F223">
        <f t="shared" si="46"/>
        <v>-1.0016999999999998</v>
      </c>
      <c r="G223">
        <f t="shared" si="47"/>
        <v>212.47922399060749</v>
      </c>
      <c r="H223">
        <f t="shared" si="48"/>
        <v>212.47922399060749</v>
      </c>
      <c r="I223">
        <f t="shared" si="49"/>
        <v>-12.981639985689077</v>
      </c>
      <c r="J223">
        <f t="shared" si="50"/>
        <v>212.8754180368621</v>
      </c>
      <c r="K223" s="5">
        <f t="shared" si="51"/>
        <v>29.004721005892755</v>
      </c>
      <c r="N223" s="5">
        <f t="shared" si="52"/>
        <v>-113.40000000000001</v>
      </c>
      <c r="O223" s="5">
        <f t="shared" si="53"/>
        <v>-129.40340222144135</v>
      </c>
      <c r="P223" s="6">
        <f t="shared" si="54"/>
        <v>-55.997852579504041</v>
      </c>
      <c r="Q223" s="6"/>
      <c r="R223" s="6">
        <f t="shared" si="55"/>
        <v>215.88188695934727</v>
      </c>
      <c r="S223" s="6">
        <f t="shared" si="56"/>
        <v>-2.9678861867137143</v>
      </c>
      <c r="T223" s="6">
        <f t="shared" si="57"/>
        <v>-2.9678861867137143</v>
      </c>
      <c r="U223" s="6">
        <f t="shared" si="58"/>
        <v>182.33934129785115</v>
      </c>
      <c r="V223" s="6">
        <f t="shared" si="59"/>
        <v>182.33934129785115</v>
      </c>
      <c r="W223" s="6">
        <f t="shared" si="60"/>
        <v>74.54436344112888</v>
      </c>
      <c r="X223" s="6">
        <f t="shared" si="61"/>
        <v>196.9885720182198</v>
      </c>
      <c r="Y223" s="6">
        <f t="shared" si="62"/>
        <v>-187.66547893231149</v>
      </c>
    </row>
    <row r="224" ht="14.25">
      <c r="A224">
        <v>-64</v>
      </c>
      <c r="B224">
        <f t="shared" si="44"/>
        <v>-19.199999999999999</v>
      </c>
      <c r="E224">
        <f t="shared" si="45"/>
        <v>-1.0175999999999998</v>
      </c>
      <c r="F224">
        <f t="shared" si="46"/>
        <v>-1.0175999999999998</v>
      </c>
      <c r="G224">
        <f t="shared" si="47"/>
        <v>212.29952489082214</v>
      </c>
      <c r="H224">
        <f t="shared" si="48"/>
        <v>212.29952489082214</v>
      </c>
      <c r="I224">
        <f t="shared" si="49"/>
        <v>-12.997539985689077</v>
      </c>
      <c r="J224">
        <f t="shared" si="50"/>
        <v>212.69702469604127</v>
      </c>
      <c r="K224" s="5">
        <f t="shared" si="51"/>
        <v>29.004721005892755</v>
      </c>
      <c r="N224" s="5">
        <f t="shared" si="52"/>
        <v>-115.2</v>
      </c>
      <c r="O224" s="5">
        <f t="shared" si="53"/>
        <v>-127.58061439770874</v>
      </c>
      <c r="P224" s="6">
        <f t="shared" si="54"/>
        <v>-60.034880110675253</v>
      </c>
      <c r="Q224" s="6"/>
      <c r="R224" s="6">
        <f t="shared" si="55"/>
        <v>215.97849471400511</v>
      </c>
      <c r="S224" s="6">
        <f t="shared" si="56"/>
        <v>-3.1818486458657884</v>
      </c>
      <c r="T224" s="6">
        <f t="shared" si="57"/>
        <v>-3.1818486458657884</v>
      </c>
      <c r="U224" s="6">
        <f t="shared" si="58"/>
        <v>180.0177816753087</v>
      </c>
      <c r="V224" s="6">
        <f t="shared" si="59"/>
        <v>180.0177816753087</v>
      </c>
      <c r="W224" s="6">
        <f t="shared" si="60"/>
        <v>73.238556545228747</v>
      </c>
      <c r="X224" s="6">
        <f t="shared" si="61"/>
        <v>194.34579461395037</v>
      </c>
      <c r="Y224" s="6">
        <f t="shared" si="62"/>
        <v>-185.02200631829635</v>
      </c>
    </row>
    <row r="225" ht="14.25">
      <c r="A225">
        <v>-65</v>
      </c>
      <c r="B225">
        <f t="shared" si="44"/>
        <v>-19.5</v>
      </c>
      <c r="E225">
        <f t="shared" si="45"/>
        <v>-1.0334999999999999</v>
      </c>
      <c r="F225">
        <f t="shared" si="46"/>
        <v>-1.0334999999999999</v>
      </c>
      <c r="G225">
        <f t="shared" si="47"/>
        <v>212.11982579103682</v>
      </c>
      <c r="H225">
        <f t="shared" si="48"/>
        <v>212.11982579103682</v>
      </c>
      <c r="I225">
        <f t="shared" si="49"/>
        <v>-13.013439985689077</v>
      </c>
      <c r="J225">
        <f t="shared" si="50"/>
        <v>212.51863474500522</v>
      </c>
      <c r="K225" s="5">
        <f t="shared" si="51"/>
        <v>29.004721005892755</v>
      </c>
      <c r="N225" s="5">
        <f t="shared" si="52"/>
        <v>-117</v>
      </c>
      <c r="O225" s="5">
        <f t="shared" si="53"/>
        <v>-125.63191991055987</v>
      </c>
      <c r="P225" s="6">
        <f t="shared" si="54"/>
        <v>-64.012660463276092</v>
      </c>
      <c r="Q225" s="6"/>
      <c r="R225" s="6">
        <f t="shared" si="55"/>
        <v>216.081775521824</v>
      </c>
      <c r="S225" s="6">
        <f t="shared" si="56"/>
        <v>-3.3926710045536326</v>
      </c>
      <c r="T225" s="6">
        <f t="shared" si="57"/>
        <v>-3.3926710045536326</v>
      </c>
      <c r="U225" s="6">
        <f t="shared" si="58"/>
        <v>177.73838398810702</v>
      </c>
      <c r="V225" s="6">
        <f t="shared" si="59"/>
        <v>177.73838398810702</v>
      </c>
      <c r="W225" s="6">
        <f t="shared" si="60"/>
        <v>71.860472036216564</v>
      </c>
      <c r="X225" s="6">
        <f t="shared" si="61"/>
        <v>191.71557209567416</v>
      </c>
      <c r="Y225" s="6">
        <f t="shared" si="62"/>
        <v>-182.19593932202264</v>
      </c>
    </row>
    <row r="226" ht="14.25">
      <c r="A226">
        <v>-66</v>
      </c>
      <c r="B226">
        <f t="shared" si="44"/>
        <v>-19.800000000000001</v>
      </c>
      <c r="E226">
        <f t="shared" si="45"/>
        <v>-1.0494000000000001</v>
      </c>
      <c r="F226">
        <f t="shared" si="46"/>
        <v>-1.0494000000000001</v>
      </c>
      <c r="G226">
        <f t="shared" si="47"/>
        <v>211.94012669125146</v>
      </c>
      <c r="H226">
        <f t="shared" si="48"/>
        <v>211.94012669125146</v>
      </c>
      <c r="I226">
        <f t="shared" si="49"/>
        <v>-13.029339985689077</v>
      </c>
      <c r="J226">
        <f t="shared" si="50"/>
        <v>212.34024819229725</v>
      </c>
      <c r="K226" s="5">
        <f t="shared" si="51"/>
        <v>29.004721005892755</v>
      </c>
      <c r="N226" s="5">
        <f t="shared" si="52"/>
        <v>-118.8</v>
      </c>
      <c r="O226" s="5">
        <f t="shared" si="53"/>
        <v>-123.55924188618475</v>
      </c>
      <c r="P226" s="6">
        <f t="shared" si="54"/>
        <v>-67.927268048341872</v>
      </c>
      <c r="Q226" s="6"/>
      <c r="R226" s="6">
        <f t="shared" si="55"/>
        <v>216.19162745711586</v>
      </c>
      <c r="S226" s="6">
        <f t="shared" si="56"/>
        <v>-3.6001452065621193</v>
      </c>
      <c r="T226" s="6">
        <f t="shared" si="57"/>
        <v>-3.6001452065621193</v>
      </c>
      <c r="U226" s="6">
        <f t="shared" si="58"/>
        <v>175.50339772656832</v>
      </c>
      <c r="V226" s="6">
        <f t="shared" si="59"/>
        <v>175.50339772656832</v>
      </c>
      <c r="W226" s="6">
        <f t="shared" si="60"/>
        <v>70.411469917124549</v>
      </c>
      <c r="X226" s="6">
        <f t="shared" si="61"/>
        <v>189.10107802299851</v>
      </c>
      <c r="Y226" s="6">
        <f t="shared" si="62"/>
        <v>-179.19006693042033</v>
      </c>
    </row>
    <row r="227" ht="14.25">
      <c r="A227">
        <v>-67</v>
      </c>
      <c r="B227">
        <f t="shared" si="44"/>
        <v>-20.100000000000001</v>
      </c>
      <c r="E227">
        <f t="shared" si="45"/>
        <v>-1.0653000000000001</v>
      </c>
      <c r="F227">
        <f t="shared" si="46"/>
        <v>-1.0653000000000001</v>
      </c>
      <c r="G227">
        <f t="shared" si="47"/>
        <v>211.76042759146614</v>
      </c>
      <c r="H227">
        <f t="shared" si="48"/>
        <v>211.76042759146614</v>
      </c>
      <c r="I227">
        <f t="shared" si="49"/>
        <v>-13.045239985689077</v>
      </c>
      <c r="J227">
        <f t="shared" si="50"/>
        <v>212.16186504648942</v>
      </c>
      <c r="K227" s="5">
        <f t="shared" si="51"/>
        <v>29.004721005892755</v>
      </c>
      <c r="N227" s="5">
        <f t="shared" si="52"/>
        <v>-120.59999999999999</v>
      </c>
      <c r="O227" s="5">
        <f t="shared" si="53"/>
        <v>-121.36462580755608</v>
      </c>
      <c r="P227" s="6">
        <f t="shared" si="54"/>
        <v>-71.774839620802297</v>
      </c>
      <c r="Q227" s="6"/>
      <c r="R227" s="6">
        <f t="shared" si="55"/>
        <v>216.30794210928318</v>
      </c>
      <c r="S227" s="6">
        <f t="shared" si="56"/>
        <v>-3.8040664999025218</v>
      </c>
      <c r="T227" s="6">
        <f t="shared" si="57"/>
        <v>-3.8040664999025218</v>
      </c>
      <c r="U227" s="6">
        <f t="shared" si="58"/>
        <v>173.31502855229968</v>
      </c>
      <c r="V227" s="6">
        <f t="shared" si="59"/>
        <v>173.31502855229968</v>
      </c>
      <c r="W227" s="6">
        <f t="shared" si="60"/>
        <v>68.892980178104153</v>
      </c>
      <c r="X227" s="6">
        <f t="shared" si="61"/>
        <v>186.5056080655622</v>
      </c>
      <c r="Y227" s="6">
        <f t="shared" si="62"/>
        <v>-176.0073555766368</v>
      </c>
    </row>
    <row r="228" ht="14.25">
      <c r="A228">
        <v>-68</v>
      </c>
      <c r="B228">
        <f t="shared" ref="B228:B260" si="63">$B$27*A228/100</f>
        <v>-20.399999999999999</v>
      </c>
      <c r="E228">
        <f t="shared" ref="E228:E260" si="64">B228*$B$7</f>
        <v>-1.0811999999999999</v>
      </c>
      <c r="F228">
        <f t="shared" ref="F228:F260" si="65">E228</f>
        <v>-1.0811999999999999</v>
      </c>
      <c r="G228">
        <f t="shared" ref="G228:G260" si="66">$D$60+B228*$B$8*$B$14</f>
        <v>211.58072849168082</v>
      </c>
      <c r="H228">
        <f t="shared" ref="H228:H260" si="67">G228</f>
        <v>211.58072849168082</v>
      </c>
      <c r="I228">
        <f t="shared" ref="I228:I260" si="68">E228-$B$26*$B$14*$B$9</f>
        <v>-13.061139985689078</v>
      </c>
      <c r="J228">
        <f t="shared" ref="J228:J260" si="69">SQRT(I228*I228+H228*H228)</f>
        <v>211.9834853161824</v>
      </c>
      <c r="K228" s="5">
        <f t="shared" ref="K228:K260" si="70">1.5*$B$13*($B$26*$B$6+$B$26*B228*($B$8-$B$9))</f>
        <v>29.004721005892755</v>
      </c>
      <c r="N228" s="5">
        <f t="shared" ref="N228:N260" si="71">180*A228/100</f>
        <v>-122.40000000000001</v>
      </c>
      <c r="O228" s="5">
        <f t="shared" ref="O228:O260" si="72">$B$31*SIN(N228/180*PI())</f>
        <v>-119.05023749578412</v>
      </c>
      <c r="P228" s="6">
        <f t="shared" ref="P228:P260" si="73">$B$31*COS(N228/180*PI())</f>
        <v>-75.551578092038554</v>
      </c>
      <c r="Q228" s="6"/>
      <c r="R228" s="6">
        <f t="shared" ref="R228:R260" si="74">$Q$60+O228*$B$7</f>
        <v>216.4306046898071</v>
      </c>
      <c r="S228" s="6">
        <f t="shared" ref="S228:S260" si="75">P228*$B$7</f>
        <v>-4.0042336388780431</v>
      </c>
      <c r="T228" s="6">
        <f t="shared" ref="T228:T260" si="76">S228</f>
        <v>-4.0042336388780431</v>
      </c>
      <c r="U228" s="6">
        <f t="shared" ref="U228:U260" si="77">R228+P228*$B$8*$B$14</f>
        <v>171.17543612147091</v>
      </c>
      <c r="V228" s="6">
        <f t="shared" ref="V228:V260" si="78">U228</f>
        <v>171.17543612147091</v>
      </c>
      <c r="W228" s="6">
        <f t="shared" ref="W228:W260" si="79">S228-O228*$B$14*$B$9</f>
        <v>67.306501385198217</v>
      </c>
      <c r="X228" s="6">
        <f t="shared" ref="X228:X260" si="80">SQRT(W228*W228+V228*V228)</f>
        <v>183.93258292127433</v>
      </c>
      <c r="Y228" s="6">
        <f t="shared" ref="Y228:Y260" si="81">1.5*$B$13*(O228*$B$6+O228*P228*($B$8-$B$9))</f>
        <v>-172.65094621252456</v>
      </c>
    </row>
    <row r="229" ht="14.25">
      <c r="A229">
        <v>-69</v>
      </c>
      <c r="B229">
        <f t="shared" si="63"/>
        <v>-20.699999999999999</v>
      </c>
      <c r="E229">
        <f t="shared" si="64"/>
        <v>-1.0971</v>
      </c>
      <c r="F229">
        <f t="shared" si="65"/>
        <v>-1.0971</v>
      </c>
      <c r="G229">
        <f t="shared" si="66"/>
        <v>211.40102939189546</v>
      </c>
      <c r="H229">
        <f t="shared" si="67"/>
        <v>211.40102939189546</v>
      </c>
      <c r="I229">
        <f t="shared" si="68"/>
        <v>-13.077039985689076</v>
      </c>
      <c r="J229">
        <f t="shared" si="69"/>
        <v>211.80510901000562</v>
      </c>
      <c r="K229" s="5">
        <f t="shared" si="70"/>
        <v>29.004721005892755</v>
      </c>
      <c r="N229" s="5">
        <f t="shared" si="71"/>
        <v>-124.2</v>
      </c>
      <c r="O229" s="5">
        <f t="shared" si="72"/>
        <v>-116.61836097271321</v>
      </c>
      <c r="P229" s="6">
        <f t="shared" si="73"/>
        <v>-79.25375627715043</v>
      </c>
      <c r="Q229" s="6"/>
      <c r="R229" s="6">
        <f t="shared" si="74"/>
        <v>216.55949414552987</v>
      </c>
      <c r="S229" s="6">
        <f t="shared" si="75"/>
        <v>-4.2004490826889729</v>
      </c>
      <c r="T229" s="6">
        <f t="shared" si="76"/>
        <v>-4.2004490826889729</v>
      </c>
      <c r="U229" s="6">
        <f t="shared" si="77"/>
        <v>169.0867319534953</v>
      </c>
      <c r="V229" s="6">
        <f t="shared" si="78"/>
        <v>169.0867319534953</v>
      </c>
      <c r="W229" s="6">
        <f t="shared" si="79"/>
        <v>65.653599201437501</v>
      </c>
      <c r="X229" s="6">
        <f t="shared" si="80"/>
        <v>181.38555072225617</v>
      </c>
      <c r="Y229" s="6">
        <f t="shared" si="81"/>
        <v>-169.12415120890194</v>
      </c>
    </row>
    <row r="230" ht="14.25">
      <c r="A230">
        <v>-70</v>
      </c>
      <c r="B230">
        <f t="shared" si="63"/>
        <v>-21</v>
      </c>
      <c r="E230">
        <f t="shared" si="64"/>
        <v>-1.113</v>
      </c>
      <c r="F230">
        <f t="shared" si="65"/>
        <v>-1.113</v>
      </c>
      <c r="G230">
        <f t="shared" si="66"/>
        <v>211.22133029211014</v>
      </c>
      <c r="H230">
        <f t="shared" si="67"/>
        <v>211.22133029211014</v>
      </c>
      <c r="I230">
        <f t="shared" si="68"/>
        <v>-13.092939985689076</v>
      </c>
      <c r="J230">
        <f t="shared" si="69"/>
        <v>211.62673613661752</v>
      </c>
      <c r="K230" s="5">
        <f t="shared" si="70"/>
        <v>29.004721005892755</v>
      </c>
      <c r="N230" s="5">
        <f t="shared" si="71"/>
        <v>-126</v>
      </c>
      <c r="O230" s="5">
        <f t="shared" si="72"/>
        <v>-114.07139620686759</v>
      </c>
      <c r="P230" s="6">
        <f t="shared" si="73"/>
        <v>-82.87772057323869</v>
      </c>
      <c r="Q230" s="6"/>
      <c r="R230" s="6">
        <f t="shared" si="74"/>
        <v>216.69448327811969</v>
      </c>
      <c r="S230" s="6">
        <f t="shared" si="75"/>
        <v>-4.3925191903816501</v>
      </c>
      <c r="T230" s="6">
        <f t="shared" si="76"/>
        <v>-4.3925191903816501</v>
      </c>
      <c r="U230" s="6">
        <f t="shared" si="77"/>
        <v>167.05097734721426</v>
      </c>
      <c r="V230" s="6">
        <f t="shared" si="78"/>
        <v>167.05097734721426</v>
      </c>
      <c r="W230" s="6">
        <f t="shared" si="79"/>
        <v>63.93590484172006</v>
      </c>
      <c r="X230" s="6">
        <f t="shared" si="80"/>
        <v>178.86818878880888</v>
      </c>
      <c r="Y230" s="6">
        <f t="shared" si="81"/>
        <v>-165.43045108664239</v>
      </c>
    </row>
    <row r="231" ht="14.25">
      <c r="A231">
        <v>-71</v>
      </c>
      <c r="B231">
        <f t="shared" si="63"/>
        <v>-21.300000000000001</v>
      </c>
      <c r="E231">
        <f t="shared" si="64"/>
        <v>-1.1289</v>
      </c>
      <c r="F231">
        <f t="shared" si="65"/>
        <v>-1.1289</v>
      </c>
      <c r="G231">
        <f t="shared" si="66"/>
        <v>211.04163119232479</v>
      </c>
      <c r="H231">
        <f t="shared" si="67"/>
        <v>211.04163119232479</v>
      </c>
      <c r="I231">
        <f t="shared" si="68"/>
        <v>-13.108839985689077</v>
      </c>
      <c r="J231">
        <f t="shared" si="69"/>
        <v>211.44836670470556</v>
      </c>
      <c r="K231" s="5">
        <f t="shared" si="70"/>
        <v>29.004721005892755</v>
      </c>
      <c r="N231" s="5">
        <f t="shared" si="71"/>
        <v>-127.8</v>
      </c>
      <c r="O231" s="5">
        <f t="shared" si="72"/>
        <v>-111.41185674497237</v>
      </c>
      <c r="P231" s="6">
        <f t="shared" si="73"/>
        <v>-86.419894565069654</v>
      </c>
      <c r="Q231" s="6"/>
      <c r="R231" s="6">
        <f t="shared" si="74"/>
        <v>216.83543886960013</v>
      </c>
      <c r="S231" s="6">
        <f t="shared" si="75"/>
        <v>-4.5802544119486912</v>
      </c>
      <c r="T231" s="6">
        <f t="shared" si="76"/>
        <v>-4.5802544119486912</v>
      </c>
      <c r="U231" s="6">
        <f t="shared" si="77"/>
        <v>165.07018134664452</v>
      </c>
      <c r="V231" s="6">
        <f t="shared" si="78"/>
        <v>165.07018134664452</v>
      </c>
      <c r="W231" s="6">
        <f t="shared" si="79"/>
        <v>62.155113462999189</v>
      </c>
      <c r="X231" s="6">
        <f t="shared" si="80"/>
        <v>176.3843045721824</v>
      </c>
      <c r="Y231" s="6">
        <f t="shared" si="81"/>
        <v>-161.57349108182072</v>
      </c>
    </row>
    <row r="232" ht="14.25">
      <c r="A232">
        <v>-72</v>
      </c>
      <c r="B232">
        <f t="shared" si="63"/>
        <v>-21.600000000000001</v>
      </c>
      <c r="E232">
        <f t="shared" si="64"/>
        <v>-1.1448</v>
      </c>
      <c r="F232">
        <f t="shared" si="65"/>
        <v>-1.1448</v>
      </c>
      <c r="G232">
        <f t="shared" si="66"/>
        <v>210.86193209253946</v>
      </c>
      <c r="H232">
        <f t="shared" si="67"/>
        <v>210.86193209253946</v>
      </c>
      <c r="I232">
        <f t="shared" si="68"/>
        <v>-13.124739985689077</v>
      </c>
      <c r="J232">
        <f t="shared" si="69"/>
        <v>211.2700007229864</v>
      </c>
      <c r="K232" s="5">
        <f t="shared" si="70"/>
        <v>29.004721005892755</v>
      </c>
      <c r="N232" s="5">
        <f t="shared" si="71"/>
        <v>-129.59999999999999</v>
      </c>
      <c r="O232" s="5">
        <f t="shared" si="72"/>
        <v>-108.64236723138629</v>
      </c>
      <c r="P232" s="6">
        <f t="shared" si="73"/>
        <v>-89.876782554565253</v>
      </c>
      <c r="Q232" s="6"/>
      <c r="R232" s="6">
        <f t="shared" si="74"/>
        <v>216.98222181382019</v>
      </c>
      <c r="S232" s="6">
        <f t="shared" si="75"/>
        <v>-4.7634694753919584</v>
      </c>
      <c r="T232" s="6">
        <f t="shared" si="76"/>
        <v>-4.7634694753919584</v>
      </c>
      <c r="U232" s="6">
        <f t="shared" si="77"/>
        <v>163.14629875829425</v>
      </c>
      <c r="V232" s="6">
        <f t="shared" si="78"/>
        <v>163.14629875829425</v>
      </c>
      <c r="W232" s="6">
        <f t="shared" si="79"/>
        <v>60.312982491368103</v>
      </c>
      <c r="X232" s="6">
        <f t="shared" si="80"/>
        <v>173.93783560667495</v>
      </c>
      <c r="Y232" s="6">
        <f t="shared" si="81"/>
        <v>-157.55707754830524</v>
      </c>
    </row>
    <row r="233" ht="14.25">
      <c r="A233">
        <v>-73</v>
      </c>
      <c r="B233">
        <f t="shared" si="63"/>
        <v>-21.899999999999999</v>
      </c>
      <c r="E233">
        <f t="shared" si="64"/>
        <v>-1.1606999999999998</v>
      </c>
      <c r="F233">
        <f t="shared" si="65"/>
        <v>-1.1606999999999998</v>
      </c>
      <c r="G233">
        <f t="shared" si="66"/>
        <v>210.68223299275411</v>
      </c>
      <c r="H233">
        <f t="shared" si="67"/>
        <v>210.68223299275411</v>
      </c>
      <c r="I233">
        <f t="shared" si="68"/>
        <v>-13.140639985689077</v>
      </c>
      <c r="J233">
        <f t="shared" si="69"/>
        <v>211.09163820020586</v>
      </c>
      <c r="K233" s="5">
        <f t="shared" si="70"/>
        <v>29.004721005892755</v>
      </c>
      <c r="N233" s="5">
        <f t="shared" si="71"/>
        <v>-131.40000000000001</v>
      </c>
      <c r="O233" s="5">
        <f t="shared" si="72"/>
        <v>-105.7656608178948</v>
      </c>
      <c r="P233" s="6">
        <f t="shared" si="73"/>
        <v>-93.244973010634894</v>
      </c>
      <c r="Q233" s="6"/>
      <c r="R233" s="6">
        <f t="shared" si="74"/>
        <v>217.13468725373522</v>
      </c>
      <c r="S233" s="6">
        <f t="shared" si="75"/>
        <v>-4.9419835695636491</v>
      </c>
      <c r="T233" s="6">
        <f t="shared" si="76"/>
        <v>-4.9419835695636491</v>
      </c>
      <c r="U233" s="6">
        <f t="shared" si="77"/>
        <v>161.28122822200504</v>
      </c>
      <c r="V233" s="6">
        <f t="shared" si="78"/>
        <v>161.28122822200504</v>
      </c>
      <c r="W233" s="6">
        <f t="shared" si="79"/>
        <v>58.411329887692666</v>
      </c>
      <c r="X233" s="6">
        <f t="shared" si="80"/>
        <v>171.53284827124901</v>
      </c>
      <c r="Y233" s="6">
        <f t="shared" si="81"/>
        <v>-153.3851742013461</v>
      </c>
    </row>
    <row r="234" ht="14.25">
      <c r="A234">
        <v>-74</v>
      </c>
      <c r="B234">
        <f t="shared" si="63"/>
        <v>-22.199999999999999</v>
      </c>
      <c r="E234">
        <f t="shared" si="64"/>
        <v>-1.1765999999999999</v>
      </c>
      <c r="F234">
        <f t="shared" si="65"/>
        <v>-1.1765999999999999</v>
      </c>
      <c r="G234">
        <f t="shared" si="66"/>
        <v>210.50253389296878</v>
      </c>
      <c r="H234">
        <f t="shared" si="67"/>
        <v>210.50253389296878</v>
      </c>
      <c r="I234">
        <f t="shared" si="68"/>
        <v>-13.156539985689077</v>
      </c>
      <c r="J234">
        <f t="shared" si="69"/>
        <v>210.91327914513943</v>
      </c>
      <c r="K234" s="5">
        <f t="shared" si="70"/>
        <v>29.004721005892755</v>
      </c>
      <c r="N234" s="5">
        <f t="shared" si="71"/>
        <v>-133.19999999999999</v>
      </c>
      <c r="O234" s="5">
        <f t="shared" si="72"/>
        <v>-102.78457646641901</v>
      </c>
      <c r="P234" s="6">
        <f t="shared" si="73"/>
        <v>-96.52114193594511</v>
      </c>
      <c r="Q234" s="6"/>
      <c r="R234" s="6">
        <f t="shared" si="74"/>
        <v>217.29268472436345</v>
      </c>
      <c r="S234" s="6">
        <f t="shared" si="75"/>
        <v>-5.1156205226050906</v>
      </c>
      <c r="T234" s="6">
        <f t="shared" si="76"/>
        <v>-5.1156205226050906</v>
      </c>
      <c r="U234" s="6">
        <f t="shared" si="77"/>
        <v>159.47681033722347</v>
      </c>
      <c r="V234" s="6">
        <f t="shared" si="78"/>
        <v>159.47681033722347</v>
      </c>
      <c r="W234" s="6">
        <f t="shared" si="79"/>
        <v>56.452032353503391</v>
      </c>
      <c r="X234" s="6">
        <f t="shared" si="80"/>
        <v>169.1735351412145</v>
      </c>
      <c r="Y234" s="6">
        <f t="shared" si="81"/>
        <v>-149.0618982058667</v>
      </c>
    </row>
    <row r="235" ht="14.25">
      <c r="A235">
        <v>-75</v>
      </c>
      <c r="B235">
        <f t="shared" si="63"/>
        <v>-22.5</v>
      </c>
      <c r="E235">
        <f t="shared" si="64"/>
        <v>-1.1924999999999999</v>
      </c>
      <c r="F235">
        <f t="shared" si="65"/>
        <v>-1.1924999999999999</v>
      </c>
      <c r="G235">
        <f t="shared" si="66"/>
        <v>210.32283479318346</v>
      </c>
      <c r="H235">
        <f t="shared" si="67"/>
        <v>210.32283479318346</v>
      </c>
      <c r="I235">
        <f t="shared" si="68"/>
        <v>-13.172439985689078</v>
      </c>
      <c r="J235">
        <f t="shared" si="69"/>
        <v>210.73492356659187</v>
      </c>
      <c r="K235" s="5">
        <f t="shared" si="70"/>
        <v>29.004721005892755</v>
      </c>
      <c r="N235" s="5">
        <f t="shared" si="71"/>
        <v>-135</v>
      </c>
      <c r="O235" s="5">
        <f t="shared" si="72"/>
        <v>-99.70205614730321</v>
      </c>
      <c r="P235" s="6">
        <f t="shared" si="73"/>
        <v>-99.702056147303196</v>
      </c>
      <c r="Q235" s="6"/>
      <c r="R235" s="6">
        <f t="shared" si="74"/>
        <v>217.45605830127658</v>
      </c>
      <c r="S235" s="6">
        <f t="shared" si="75"/>
        <v>-5.2842089758070694</v>
      </c>
      <c r="T235" s="6">
        <f t="shared" si="76"/>
        <v>-5.2842089758070694</v>
      </c>
      <c r="U235" s="6">
        <f t="shared" si="77"/>
        <v>157.73482584655184</v>
      </c>
      <c r="V235" s="6">
        <f t="shared" si="78"/>
        <v>157.73482584655184</v>
      </c>
      <c r="W235" s="6">
        <f t="shared" si="79"/>
        <v>54.437023478917681</v>
      </c>
      <c r="X235" s="6">
        <f t="shared" si="80"/>
        <v>166.86421069266552</v>
      </c>
      <c r="Y235" s="6">
        <f t="shared" si="81"/>
        <v>-144.59151611331922</v>
      </c>
    </row>
    <row r="236" ht="14.25">
      <c r="A236">
        <v>-76</v>
      </c>
      <c r="B236">
        <f t="shared" si="63"/>
        <v>-22.800000000000001</v>
      </c>
      <c r="E236">
        <f t="shared" si="64"/>
        <v>-1.2083999999999999</v>
      </c>
      <c r="F236">
        <f t="shared" si="65"/>
        <v>-1.2083999999999999</v>
      </c>
      <c r="G236">
        <f t="shared" si="66"/>
        <v>210.14313569339811</v>
      </c>
      <c r="H236">
        <f t="shared" si="67"/>
        <v>210.14313569339811</v>
      </c>
      <c r="I236">
        <f t="shared" si="68"/>
        <v>-13.188339985689076</v>
      </c>
      <c r="J236">
        <f t="shared" si="69"/>
        <v>210.55657147339772</v>
      </c>
      <c r="K236" s="5">
        <f t="shared" si="70"/>
        <v>29.004721005892755</v>
      </c>
      <c r="N236" s="5">
        <f t="shared" si="71"/>
        <v>-136.80000000000001</v>
      </c>
      <c r="O236" s="5">
        <f t="shared" si="72"/>
        <v>-96.521141935945124</v>
      </c>
      <c r="P236" s="6">
        <f t="shared" si="73"/>
        <v>-102.784576466419</v>
      </c>
      <c r="Q236" s="6"/>
      <c r="R236" s="6">
        <f t="shared" si="74"/>
        <v>217.62464675447856</v>
      </c>
      <c r="S236" s="6">
        <f t="shared" si="75"/>
        <v>-5.4475825527202071</v>
      </c>
      <c r="T236" s="6">
        <f t="shared" si="76"/>
        <v>-5.4475825527202071</v>
      </c>
      <c r="U236" s="6">
        <f t="shared" si="77"/>
        <v>156.05699387837009</v>
      </c>
      <c r="V236" s="6">
        <f t="shared" si="78"/>
        <v>156.05699387837009</v>
      </c>
      <c r="W236" s="6">
        <f t="shared" si="79"/>
        <v>52.368291834419786</v>
      </c>
      <c r="X236" s="6">
        <f t="shared" si="80"/>
        <v>164.60930510760502</v>
      </c>
      <c r="Y236" s="6">
        <f t="shared" si="81"/>
        <v>-139.97843965111318</v>
      </c>
    </row>
    <row r="237" ht="14.25">
      <c r="A237">
        <v>-77</v>
      </c>
      <c r="B237">
        <f t="shared" si="63"/>
        <v>-23.100000000000001</v>
      </c>
      <c r="E237">
        <f t="shared" si="64"/>
        <v>-1.2242999999999999</v>
      </c>
      <c r="F237">
        <f t="shared" si="65"/>
        <v>-1.2242999999999999</v>
      </c>
      <c r="G237">
        <f t="shared" si="66"/>
        <v>209.96343659361278</v>
      </c>
      <c r="H237">
        <f t="shared" si="67"/>
        <v>209.96343659361278</v>
      </c>
      <c r="I237">
        <f t="shared" si="68"/>
        <v>-13.204239985689076</v>
      </c>
      <c r="J237">
        <f t="shared" si="69"/>
        <v>210.3782228744214</v>
      </c>
      <c r="K237" s="5">
        <f t="shared" si="70"/>
        <v>29.004721005892755</v>
      </c>
      <c r="N237" s="5">
        <f t="shared" si="71"/>
        <v>-138.59999999999999</v>
      </c>
      <c r="O237" s="5">
        <f t="shared" si="72"/>
        <v>-93.244973010634908</v>
      </c>
      <c r="P237" s="6">
        <f t="shared" si="73"/>
        <v>-105.76566081789478</v>
      </c>
      <c r="Q237" s="6"/>
      <c r="R237" s="6">
        <f t="shared" si="74"/>
        <v>217.79828370752</v>
      </c>
      <c r="S237" s="6">
        <f t="shared" si="75"/>
        <v>-5.6055800233484234</v>
      </c>
      <c r="T237" s="6">
        <f t="shared" si="76"/>
        <v>-5.6055800233484234</v>
      </c>
      <c r="U237" s="6">
        <f t="shared" si="77"/>
        <v>154.44497025026368</v>
      </c>
      <c r="V237" s="6">
        <f t="shared" si="78"/>
        <v>154.44497025026368</v>
      </c>
      <c r="W237" s="6">
        <f t="shared" si="79"/>
        <v>50.247879008381773</v>
      </c>
      <c r="X237" s="6">
        <f t="shared" si="80"/>
        <v>162.41335591768865</v>
      </c>
      <c r="Y237" s="6">
        <f t="shared" si="81"/>
        <v>-135.22722136877329</v>
      </c>
    </row>
    <row r="238" ht="14.25">
      <c r="A238">
        <v>-78</v>
      </c>
      <c r="B238">
        <f t="shared" si="63"/>
        <v>-23.399999999999999</v>
      </c>
      <c r="E238">
        <f t="shared" si="64"/>
        <v>-1.2402</v>
      </c>
      <c r="F238">
        <f t="shared" si="65"/>
        <v>-1.2402</v>
      </c>
      <c r="G238">
        <f t="shared" si="66"/>
        <v>209.78373749382743</v>
      </c>
      <c r="H238">
        <f t="shared" si="67"/>
        <v>209.78373749382743</v>
      </c>
      <c r="I238">
        <f t="shared" si="68"/>
        <v>-13.220139985689077</v>
      </c>
      <c r="J238">
        <f t="shared" si="69"/>
        <v>210.19987777855704</v>
      </c>
      <c r="K238" s="5">
        <f t="shared" si="70"/>
        <v>29.004721005892755</v>
      </c>
      <c r="N238" s="5">
        <f t="shared" si="71"/>
        <v>-140.40000000000001</v>
      </c>
      <c r="O238" s="5">
        <f t="shared" si="72"/>
        <v>-89.876782554565267</v>
      </c>
      <c r="P238" s="6">
        <f t="shared" si="73"/>
        <v>-108.64236723138627</v>
      </c>
      <c r="Q238" s="6"/>
      <c r="R238" s="6">
        <f t="shared" si="74"/>
        <v>217.9767978016917</v>
      </c>
      <c r="S238" s="6">
        <f t="shared" si="75"/>
        <v>-5.7580454632634721</v>
      </c>
      <c r="T238" s="6">
        <f t="shared" si="76"/>
        <v>-5.7580454632634721</v>
      </c>
      <c r="U238" s="6">
        <f t="shared" si="77"/>
        <v>152.90034583493164</v>
      </c>
      <c r="V238" s="6">
        <f t="shared" si="78"/>
        <v>152.90034583493164</v>
      </c>
      <c r="W238" s="6">
        <f t="shared" si="79"/>
        <v>48.077877592262467</v>
      </c>
      <c r="X238" s="6">
        <f t="shared" si="80"/>
        <v>160.28099722118736</v>
      </c>
      <c r="Y238" s="6">
        <f t="shared" si="81"/>
        <v>-130.34255014512274</v>
      </c>
    </row>
    <row r="239" ht="14.25">
      <c r="A239">
        <v>-79</v>
      </c>
      <c r="B239">
        <f t="shared" si="63"/>
        <v>-23.699999999999999</v>
      </c>
      <c r="E239">
        <f t="shared" si="64"/>
        <v>-1.2561</v>
      </c>
      <c r="F239">
        <f t="shared" si="65"/>
        <v>-1.2561</v>
      </c>
      <c r="G239">
        <f t="shared" si="66"/>
        <v>209.60403839404211</v>
      </c>
      <c r="H239">
        <f t="shared" si="67"/>
        <v>209.60403839404211</v>
      </c>
      <c r="I239">
        <f t="shared" si="68"/>
        <v>-13.236039985689077</v>
      </c>
      <c r="J239">
        <f t="shared" si="69"/>
        <v>210.02153619472892</v>
      </c>
      <c r="K239" s="5">
        <f t="shared" si="70"/>
        <v>29.004721005892755</v>
      </c>
      <c r="N239" s="5">
        <f t="shared" si="71"/>
        <v>-142.19999999999999</v>
      </c>
      <c r="O239" s="5">
        <f t="shared" si="72"/>
        <v>-86.419894565069725</v>
      </c>
      <c r="P239" s="6">
        <f t="shared" si="73"/>
        <v>-111.41185674497231</v>
      </c>
      <c r="Q239" s="6"/>
      <c r="R239" s="6">
        <f t="shared" si="74"/>
        <v>218.16001286513497</v>
      </c>
      <c r="S239" s="6">
        <f t="shared" si="75"/>
        <v>-5.9048284074835324</v>
      </c>
      <c r="T239" s="6">
        <f t="shared" si="76"/>
        <v>-5.9048284074835324</v>
      </c>
      <c r="U239" s="6">
        <f t="shared" si="77"/>
        <v>151.42464499018712</v>
      </c>
      <c r="V239" s="6">
        <f t="shared" si="78"/>
        <v>151.42464499018712</v>
      </c>
      <c r="W239" s="6">
        <f t="shared" si="79"/>
        <v>45.860429115472108</v>
      </c>
      <c r="X239" s="6">
        <f t="shared" si="80"/>
        <v>158.21694621329107</v>
      </c>
      <c r="Y239" s="6">
        <f t="shared" si="81"/>
        <v>-125.32924656092575</v>
      </c>
    </row>
    <row r="240" ht="14.25">
      <c r="A240">
        <v>-80</v>
      </c>
      <c r="B240">
        <f t="shared" si="63"/>
        <v>-24</v>
      </c>
      <c r="E240">
        <f t="shared" si="64"/>
        <v>-1.272</v>
      </c>
      <c r="F240">
        <f t="shared" si="65"/>
        <v>-1.272</v>
      </c>
      <c r="G240">
        <f t="shared" si="66"/>
        <v>209.42433929425678</v>
      </c>
      <c r="H240">
        <f t="shared" si="67"/>
        <v>209.42433929425678</v>
      </c>
      <c r="I240">
        <f t="shared" si="68"/>
        <v>-13.251939985689077</v>
      </c>
      <c r="J240">
        <f t="shared" si="69"/>
        <v>209.84319813189154</v>
      </c>
      <c r="K240" s="5">
        <f t="shared" si="70"/>
        <v>29.004721005892755</v>
      </c>
      <c r="N240" s="5">
        <f t="shared" si="71"/>
        <v>-144</v>
      </c>
      <c r="O240" s="5">
        <f t="shared" si="72"/>
        <v>-82.877720573238733</v>
      </c>
      <c r="P240" s="6">
        <f t="shared" si="73"/>
        <v>-114.07139620686758</v>
      </c>
      <c r="Q240" s="6"/>
      <c r="R240" s="6">
        <f t="shared" si="74"/>
        <v>218.34774808670201</v>
      </c>
      <c r="S240" s="6">
        <f t="shared" si="75"/>
        <v>-6.045783998963981</v>
      </c>
      <c r="T240" s="6">
        <f t="shared" si="76"/>
        <v>-6.045783998963981</v>
      </c>
      <c r="U240" s="6">
        <f t="shared" si="77"/>
        <v>150.0193240546003</v>
      </c>
      <c r="V240" s="6">
        <f t="shared" si="78"/>
        <v>150.0193240546003</v>
      </c>
      <c r="W240" s="6">
        <f t="shared" si="79"/>
        <v>43.597721931941464</v>
      </c>
      <c r="X240" s="6">
        <f t="shared" si="80"/>
        <v>156.22598678662288</v>
      </c>
      <c r="Y240" s="6">
        <f t="shared" si="81"/>
        <v>-120.19225814155638</v>
      </c>
    </row>
    <row r="241" ht="14.25">
      <c r="A241">
        <v>-81</v>
      </c>
      <c r="B241">
        <f t="shared" si="63"/>
        <v>-24.300000000000001</v>
      </c>
      <c r="E241">
        <f t="shared" si="64"/>
        <v>-1.2879</v>
      </c>
      <c r="F241">
        <f t="shared" si="65"/>
        <v>-1.2879</v>
      </c>
      <c r="G241">
        <f t="shared" si="66"/>
        <v>209.24464019447143</v>
      </c>
      <c r="H241">
        <f t="shared" si="67"/>
        <v>209.24464019447143</v>
      </c>
      <c r="I241">
        <f t="shared" si="68"/>
        <v>-13.267839985689077</v>
      </c>
      <c r="J241">
        <f t="shared" si="69"/>
        <v>209.66486359902953</v>
      </c>
      <c r="K241" s="5">
        <f t="shared" si="70"/>
        <v>29.004721005892755</v>
      </c>
      <c r="N241" s="5">
        <f t="shared" si="71"/>
        <v>-145.80000000000001</v>
      </c>
      <c r="O241" s="5">
        <f t="shared" si="72"/>
        <v>-79.253756277150401</v>
      </c>
      <c r="P241" s="6">
        <f t="shared" si="73"/>
        <v>-116.61836097271323</v>
      </c>
      <c r="Q241" s="6"/>
      <c r="R241" s="6">
        <f t="shared" si="74"/>
        <v>218.53981819439468</v>
      </c>
      <c r="S241" s="6">
        <f t="shared" si="75"/>
        <v>-6.180773131553801</v>
      </c>
      <c r="T241" s="6">
        <f t="shared" si="76"/>
        <v>-6.180773131553801</v>
      </c>
      <c r="U241" s="6">
        <f t="shared" si="77"/>
        <v>148.68576991026819</v>
      </c>
      <c r="V241" s="6">
        <f t="shared" si="78"/>
        <v>148.68576991026819</v>
      </c>
      <c r="W241" s="6">
        <f t="shared" si="79"/>
        <v>41.291989060480738</v>
      </c>
      <c r="X241" s="6">
        <f t="shared" si="80"/>
        <v>154.31294998923477</v>
      </c>
      <c r="Y241" s="6">
        <f t="shared" si="81"/>
        <v>-114.93665447438846</v>
      </c>
    </row>
    <row r="242" ht="14.25">
      <c r="A242">
        <v>-82</v>
      </c>
      <c r="B242">
        <f t="shared" si="63"/>
        <v>-24.600000000000001</v>
      </c>
      <c r="E242">
        <f t="shared" si="64"/>
        <v>-1.3038000000000001</v>
      </c>
      <c r="F242">
        <f t="shared" si="65"/>
        <v>-1.3038000000000001</v>
      </c>
      <c r="G242">
        <f t="shared" si="66"/>
        <v>209.06494109468611</v>
      </c>
      <c r="H242">
        <f t="shared" si="67"/>
        <v>209.06494109468611</v>
      </c>
      <c r="I242">
        <f t="shared" si="68"/>
        <v>-13.283739985689078</v>
      </c>
      <c r="J242">
        <f t="shared" si="69"/>
        <v>209.48653260515809</v>
      </c>
      <c r="K242" s="5">
        <f t="shared" si="70"/>
        <v>29.004721005892755</v>
      </c>
      <c r="N242" s="5">
        <f t="shared" si="71"/>
        <v>-147.59999999999999</v>
      </c>
      <c r="O242" s="5">
        <f t="shared" si="72"/>
        <v>-75.551578092038582</v>
      </c>
      <c r="P242" s="6">
        <f t="shared" si="73"/>
        <v>-119.05023749578409</v>
      </c>
      <c r="Q242" s="6"/>
      <c r="R242" s="6">
        <f t="shared" si="74"/>
        <v>218.73603363820561</v>
      </c>
      <c r="S242" s="6">
        <f t="shared" si="75"/>
        <v>-6.3096625872765566</v>
      </c>
      <c r="T242" s="6">
        <f t="shared" si="76"/>
        <v>-6.3096625872765566</v>
      </c>
      <c r="U242" s="6">
        <f t="shared" si="77"/>
        <v>147.42529861412936</v>
      </c>
      <c r="V242" s="6">
        <f t="shared" si="78"/>
        <v>147.42529861412936</v>
      </c>
      <c r="W242" s="6">
        <f t="shared" si="79"/>
        <v>38.945505981059632</v>
      </c>
      <c r="X242" s="6">
        <f t="shared" si="80"/>
        <v>152.48269117373934</v>
      </c>
      <c r="Y242" s="6">
        <f t="shared" si="81"/>
        <v>-109.56762220572492</v>
      </c>
    </row>
    <row r="243" ht="14.25">
      <c r="A243">
        <v>-83</v>
      </c>
      <c r="B243">
        <f t="shared" si="63"/>
        <v>-24.899999999999999</v>
      </c>
      <c r="E243">
        <f t="shared" si="64"/>
        <v>-1.3196999999999999</v>
      </c>
      <c r="F243">
        <f t="shared" si="65"/>
        <v>-1.3196999999999999</v>
      </c>
      <c r="G243">
        <f t="shared" si="66"/>
        <v>208.88524199490075</v>
      </c>
      <c r="H243">
        <f t="shared" si="67"/>
        <v>208.88524199490075</v>
      </c>
      <c r="I243">
        <f t="shared" si="68"/>
        <v>-13.299639985689076</v>
      </c>
      <c r="J243">
        <f t="shared" si="69"/>
        <v>209.30820515932285</v>
      </c>
      <c r="K243" s="5">
        <f t="shared" si="70"/>
        <v>29.004721005892755</v>
      </c>
      <c r="N243" s="5">
        <f t="shared" si="71"/>
        <v>-149.40000000000001</v>
      </c>
      <c r="O243" s="5">
        <f t="shared" si="72"/>
        <v>-71.774839620802325</v>
      </c>
      <c r="P243" s="6">
        <f t="shared" si="73"/>
        <v>-121.36462580755607</v>
      </c>
      <c r="Q243" s="6"/>
      <c r="R243" s="6">
        <f t="shared" si="74"/>
        <v>218.93620077718114</v>
      </c>
      <c r="S243" s="6">
        <f t="shared" si="75"/>
        <v>-6.4323251678004709</v>
      </c>
      <c r="T243" s="6">
        <f t="shared" si="76"/>
        <v>-6.4323251678004709</v>
      </c>
      <c r="U243" s="6">
        <f t="shared" si="77"/>
        <v>146.23915409917447</v>
      </c>
      <c r="V243" s="6">
        <f t="shared" si="78"/>
        <v>146.23915409917447</v>
      </c>
      <c r="W243" s="6">
        <f t="shared" si="79"/>
        <v>36.560588389183046</v>
      </c>
      <c r="X243" s="6">
        <f t="shared" si="80"/>
        <v>150.74006373557549</v>
      </c>
      <c r="Y243" s="6">
        <f t="shared" si="81"/>
        <v>-104.09045992220345</v>
      </c>
    </row>
    <row r="244" ht="14.25">
      <c r="A244">
        <v>-84</v>
      </c>
      <c r="B244">
        <f t="shared" si="63"/>
        <v>-25.199999999999999</v>
      </c>
      <c r="E244">
        <f t="shared" si="64"/>
        <v>-1.3355999999999999</v>
      </c>
      <c r="F244">
        <f t="shared" si="65"/>
        <v>-1.3355999999999999</v>
      </c>
      <c r="G244">
        <f t="shared" si="66"/>
        <v>208.70554289511543</v>
      </c>
      <c r="H244">
        <f t="shared" si="67"/>
        <v>208.70554289511543</v>
      </c>
      <c r="I244">
        <f t="shared" si="68"/>
        <v>-13.315539985689076</v>
      </c>
      <c r="J244">
        <f t="shared" si="69"/>
        <v>209.12988127060024</v>
      </c>
      <c r="K244" s="5">
        <f t="shared" si="70"/>
        <v>29.004721005892755</v>
      </c>
      <c r="N244" s="5">
        <f t="shared" si="71"/>
        <v>-151.19999999999999</v>
      </c>
      <c r="O244" s="5">
        <f t="shared" si="72"/>
        <v>-67.927268048341901</v>
      </c>
      <c r="P244" s="6">
        <f t="shared" si="73"/>
        <v>-123.55924188618475</v>
      </c>
      <c r="Q244" s="6"/>
      <c r="R244" s="6">
        <f t="shared" si="74"/>
        <v>219.14012207052153</v>
      </c>
      <c r="S244" s="6">
        <f t="shared" si="75"/>
        <v>-6.548639819967792</v>
      </c>
      <c r="T244" s="6">
        <f t="shared" si="76"/>
        <v>-6.548639819967792</v>
      </c>
      <c r="U244" s="6">
        <f t="shared" si="77"/>
        <v>145.12850694683488</v>
      </c>
      <c r="V244" s="6">
        <f t="shared" si="78"/>
        <v>145.12850694683488</v>
      </c>
      <c r="W244" s="6">
        <f t="shared" si="79"/>
        <v>34.139589910579772</v>
      </c>
      <c r="X244" s="6">
        <f t="shared" si="80"/>
        <v>149.08988942205323</v>
      </c>
      <c r="Y244" s="6">
        <f t="shared" si="81"/>
        <v>-98.510572921732518</v>
      </c>
    </row>
    <row r="245" ht="14.25">
      <c r="A245">
        <v>-85</v>
      </c>
      <c r="B245">
        <f t="shared" si="63"/>
        <v>-25.5</v>
      </c>
      <c r="E245">
        <f t="shared" si="64"/>
        <v>-1.3514999999999999</v>
      </c>
      <c r="F245">
        <f t="shared" si="65"/>
        <v>-1.3514999999999999</v>
      </c>
      <c r="G245">
        <f t="shared" si="66"/>
        <v>208.5258437953301</v>
      </c>
      <c r="H245">
        <f t="shared" si="67"/>
        <v>208.5258437953301</v>
      </c>
      <c r="I245">
        <f t="shared" si="68"/>
        <v>-13.331439985689077</v>
      </c>
      <c r="J245">
        <f t="shared" si="69"/>
        <v>208.95156094809735</v>
      </c>
      <c r="K245" s="5">
        <f t="shared" si="70"/>
        <v>29.004721005892755</v>
      </c>
      <c r="N245" s="5">
        <f t="shared" si="71"/>
        <v>-153</v>
      </c>
      <c r="O245" s="5">
        <f t="shared" si="72"/>
        <v>-64.012660463276106</v>
      </c>
      <c r="P245" s="6">
        <f t="shared" si="73"/>
        <v>-125.63191991055986</v>
      </c>
      <c r="Q245" s="6"/>
      <c r="R245" s="6">
        <f t="shared" si="74"/>
        <v>219.34759627253004</v>
      </c>
      <c r="S245" s="6">
        <f t="shared" si="75"/>
        <v>-6.6584917552596723</v>
      </c>
      <c r="T245" s="6">
        <f t="shared" si="76"/>
        <v>-6.6584917552596723</v>
      </c>
      <c r="U245" s="6">
        <f t="shared" si="77"/>
        <v>144.09445323175987</v>
      </c>
      <c r="V245" s="6">
        <f t="shared" si="78"/>
        <v>144.09445323175987</v>
      </c>
      <c r="W245" s="6">
        <f t="shared" si="79"/>
        <v>31.684899778457311</v>
      </c>
      <c r="X245" s="6">
        <f t="shared" si="80"/>
        <v>147.53692529712933</v>
      </c>
      <c r="Y245" s="6">
        <f t="shared" si="81"/>
        <v>-92.833467879113272</v>
      </c>
    </row>
    <row r="246" ht="14.25">
      <c r="A246">
        <v>-86</v>
      </c>
      <c r="B246">
        <f t="shared" si="63"/>
        <v>-25.800000000000001</v>
      </c>
      <c r="E246">
        <f t="shared" si="64"/>
        <v>-1.3673999999999999</v>
      </c>
      <c r="F246">
        <f t="shared" si="65"/>
        <v>-1.3673999999999999</v>
      </c>
      <c r="G246">
        <f t="shared" si="66"/>
        <v>208.34614469554475</v>
      </c>
      <c r="H246">
        <f t="shared" si="67"/>
        <v>208.34614469554475</v>
      </c>
      <c r="I246">
        <f t="shared" si="68"/>
        <v>-13.347339985689077</v>
      </c>
      <c r="J246">
        <f t="shared" si="69"/>
        <v>208.77324420095226</v>
      </c>
      <c r="K246" s="5">
        <f t="shared" si="70"/>
        <v>29.004721005892755</v>
      </c>
      <c r="N246" s="5">
        <f t="shared" si="71"/>
        <v>-154.80000000000001</v>
      </c>
      <c r="O246" s="5">
        <f t="shared" si="72"/>
        <v>-60.034880110675225</v>
      </c>
      <c r="P246" s="6">
        <f t="shared" si="73"/>
        <v>-127.58061439770876</v>
      </c>
      <c r="Q246" s="6"/>
      <c r="R246" s="6">
        <f t="shared" si="74"/>
        <v>219.55841863121788</v>
      </c>
      <c r="S246" s="6">
        <f t="shared" si="75"/>
        <v>-6.7617725630785639</v>
      </c>
      <c r="T246" s="6">
        <f t="shared" si="76"/>
        <v>-6.7617725630785639</v>
      </c>
      <c r="U246" s="6">
        <f t="shared" si="77"/>
        <v>143.13801344012336</v>
      </c>
      <c r="V246" s="6">
        <f t="shared" si="78"/>
        <v>143.13801344012336</v>
      </c>
      <c r="W246" s="6">
        <f t="shared" si="79"/>
        <v>29.198940475617832</v>
      </c>
      <c r="X246" s="6">
        <f t="shared" si="80"/>
        <v>146.08582756887682</v>
      </c>
      <c r="Y246" s="6">
        <f t="shared" si="81"/>
        <v>-87.064747411617745</v>
      </c>
    </row>
    <row r="247" ht="14.25">
      <c r="A247">
        <v>-87</v>
      </c>
      <c r="B247">
        <f t="shared" si="63"/>
        <v>-26.100000000000001</v>
      </c>
      <c r="E247">
        <f t="shared" si="64"/>
        <v>-1.3833</v>
      </c>
      <c r="F247">
        <f t="shared" si="65"/>
        <v>-1.3833</v>
      </c>
      <c r="G247">
        <f t="shared" si="66"/>
        <v>208.16644559575943</v>
      </c>
      <c r="H247">
        <f t="shared" si="67"/>
        <v>208.16644559575943</v>
      </c>
      <c r="I247">
        <f t="shared" si="68"/>
        <v>-13.363239985689077</v>
      </c>
      <c r="J247">
        <f t="shared" si="69"/>
        <v>208.59493103833415</v>
      </c>
      <c r="K247" s="5">
        <f t="shared" si="70"/>
        <v>29.004721005892755</v>
      </c>
      <c r="N247" s="5">
        <f t="shared" si="71"/>
        <v>-156.59999999999999</v>
      </c>
      <c r="O247" s="5">
        <f t="shared" si="72"/>
        <v>-55.99785257950407</v>
      </c>
      <c r="P247" s="6">
        <f t="shared" si="73"/>
        <v>-129.40340222144135</v>
      </c>
      <c r="Q247" s="6"/>
      <c r="R247" s="6">
        <f t="shared" si="74"/>
        <v>219.77238109036995</v>
      </c>
      <c r="S247" s="6">
        <f t="shared" si="75"/>
        <v>-6.8583803177363913</v>
      </c>
      <c r="T247" s="6">
        <f t="shared" si="76"/>
        <v>-6.8583803177363913</v>
      </c>
      <c r="U247" s="6">
        <f t="shared" si="77"/>
        <v>142.26013146252734</v>
      </c>
      <c r="V247" s="6">
        <f t="shared" si="78"/>
        <v>142.26013146252734</v>
      </c>
      <c r="W247" s="6">
        <f t="shared" si="79"/>
        <v>26.684165343759759</v>
      </c>
      <c r="X247" s="6">
        <f t="shared" si="80"/>
        <v>144.74111262467437</v>
      </c>
      <c r="Y247" s="6">
        <f t="shared" si="81"/>
        <v>-81.210104549881379</v>
      </c>
    </row>
    <row r="248" ht="14.25">
      <c r="A248">
        <v>-88</v>
      </c>
      <c r="B248">
        <f t="shared" si="63"/>
        <v>-26.399999999999999</v>
      </c>
      <c r="E248">
        <f t="shared" si="64"/>
        <v>-1.3991999999999998</v>
      </c>
      <c r="F248">
        <f t="shared" si="65"/>
        <v>-1.3991999999999998</v>
      </c>
      <c r="G248">
        <f t="shared" si="66"/>
        <v>207.98674649597407</v>
      </c>
      <c r="H248">
        <f t="shared" si="67"/>
        <v>207.98674649597407</v>
      </c>
      <c r="I248">
        <f t="shared" si="68"/>
        <v>-13.379139985689077</v>
      </c>
      <c r="J248">
        <f t="shared" si="69"/>
        <v>208.41662146944338</v>
      </c>
      <c r="K248" s="5">
        <f t="shared" si="70"/>
        <v>29.004721005892755</v>
      </c>
      <c r="N248" s="5">
        <f t="shared" si="71"/>
        <v>-158.40000000000001</v>
      </c>
      <c r="O248" s="5">
        <f t="shared" si="72"/>
        <v>-51.905561928539619</v>
      </c>
      <c r="P248" s="6">
        <f t="shared" si="73"/>
        <v>-131.09848451024345</v>
      </c>
      <c r="Q248" s="6"/>
      <c r="R248" s="6">
        <f t="shared" si="74"/>
        <v>219.98927249487107</v>
      </c>
      <c r="S248" s="6">
        <f t="shared" si="75"/>
        <v>-6.9482196790429027</v>
      </c>
      <c r="T248" s="6">
        <f t="shared" si="76"/>
        <v>-6.9482196790429027</v>
      </c>
      <c r="U248" s="6">
        <f t="shared" si="77"/>
        <v>141.4616736624958</v>
      </c>
      <c r="V248" s="6">
        <f t="shared" si="78"/>
        <v>141.4616736624958</v>
      </c>
      <c r="W248" s="6">
        <f t="shared" si="79"/>
        <v>24.143056162325717</v>
      </c>
      <c r="X248" s="6">
        <f t="shared" si="80"/>
        <v>143.50711576870211</v>
      </c>
      <c r="Y248" s="6">
        <f t="shared" si="81"/>
        <v>-75.275317119569024</v>
      </c>
    </row>
    <row r="249" ht="14.25">
      <c r="A249">
        <v>-89</v>
      </c>
      <c r="B249">
        <f t="shared" si="63"/>
        <v>-26.699999999999999</v>
      </c>
      <c r="E249">
        <f t="shared" si="64"/>
        <v>-1.4151</v>
      </c>
      <c r="F249">
        <f t="shared" si="65"/>
        <v>-1.4151</v>
      </c>
      <c r="G249">
        <f t="shared" si="66"/>
        <v>207.80704739618875</v>
      </c>
      <c r="H249">
        <f t="shared" si="67"/>
        <v>207.80704739618875</v>
      </c>
      <c r="I249">
        <f t="shared" si="68"/>
        <v>-13.395039985689078</v>
      </c>
      <c r="J249">
        <f t="shared" si="69"/>
        <v>208.23831550351161</v>
      </c>
      <c r="K249" s="5">
        <f t="shared" si="70"/>
        <v>29.004721005892755</v>
      </c>
      <c r="N249" s="5">
        <f t="shared" si="71"/>
        <v>-160.19999999999999</v>
      </c>
      <c r="O249" s="5">
        <f t="shared" si="72"/>
        <v>-47.762046754586137</v>
      </c>
      <c r="P249" s="6">
        <f t="shared" si="73"/>
        <v>-132.66418842254578</v>
      </c>
      <c r="Q249" s="6"/>
      <c r="R249" s="6">
        <f t="shared" si="74"/>
        <v>220.2088787990906</v>
      </c>
      <c r="S249" s="6">
        <f t="shared" si="75"/>
        <v>-7.031201986394926</v>
      </c>
      <c r="T249" s="6">
        <f t="shared" si="76"/>
        <v>-7.031201986394926</v>
      </c>
      <c r="U249" s="6">
        <f t="shared" si="77"/>
        <v>140.74342802147828</v>
      </c>
      <c r="V249" s="6">
        <f t="shared" si="78"/>
        <v>140.74342802147828</v>
      </c>
      <c r="W249" s="6">
        <f t="shared" si="79"/>
        <v>21.578120699285957</v>
      </c>
      <c r="X249" s="6">
        <f t="shared" si="80"/>
        <v>142.38794831076817</v>
      </c>
      <c r="Y249" s="6">
        <f t="shared" si="81"/>
        <v>-69.266242039358829</v>
      </c>
    </row>
    <row r="250" ht="14.25">
      <c r="A250">
        <v>-90</v>
      </c>
      <c r="B250">
        <f t="shared" si="63"/>
        <v>-27</v>
      </c>
      <c r="E250">
        <f t="shared" si="64"/>
        <v>-1.431</v>
      </c>
      <c r="F250">
        <f t="shared" si="65"/>
        <v>-1.431</v>
      </c>
      <c r="G250">
        <f t="shared" si="66"/>
        <v>207.6273482964034</v>
      </c>
      <c r="H250">
        <f t="shared" si="67"/>
        <v>207.6273482964034</v>
      </c>
      <c r="I250">
        <f t="shared" si="68"/>
        <v>-13.410939985689076</v>
      </c>
      <c r="J250">
        <f t="shared" si="69"/>
        <v>208.06001314980193</v>
      </c>
      <c r="K250" s="5">
        <f t="shared" si="70"/>
        <v>29.004721005892755</v>
      </c>
      <c r="N250" s="5">
        <f t="shared" si="71"/>
        <v>-162</v>
      </c>
      <c r="O250" s="5">
        <f t="shared" si="72"/>
        <v>-43.571396206867597</v>
      </c>
      <c r="P250" s="6">
        <f t="shared" si="73"/>
        <v>-134.09896879761664</v>
      </c>
      <c r="Q250" s="6"/>
      <c r="R250" s="6">
        <f t="shared" si="74"/>
        <v>220.43098327811967</v>
      </c>
      <c r="S250" s="6">
        <f t="shared" si="75"/>
        <v>-7.1072453462736815</v>
      </c>
      <c r="T250" s="6">
        <f t="shared" si="76"/>
        <v>-7.1072453462736815</v>
      </c>
      <c r="U250" s="6">
        <f t="shared" si="77"/>
        <v>140.10610336120772</v>
      </c>
      <c r="V250" s="6">
        <f t="shared" si="78"/>
        <v>140.10610336120772</v>
      </c>
      <c r="W250" s="6">
        <f t="shared" si="79"/>
        <v>18.991890236274042</v>
      </c>
      <c r="X250" s="6">
        <f t="shared" si="80"/>
        <v>141.38745380622746</v>
      </c>
      <c r="Y250" s="6">
        <f t="shared" si="81"/>
        <v>-63.188809540870423</v>
      </c>
    </row>
    <row r="251" ht="14.25">
      <c r="A251">
        <v>-91</v>
      </c>
      <c r="B251">
        <f t="shared" si="63"/>
        <v>-27.300000000000001</v>
      </c>
      <c r="E251">
        <f t="shared" si="64"/>
        <v>-1.4469000000000001</v>
      </c>
      <c r="F251">
        <f t="shared" si="65"/>
        <v>-1.4469000000000001</v>
      </c>
      <c r="G251">
        <f t="shared" si="66"/>
        <v>207.44764919661807</v>
      </c>
      <c r="H251">
        <f t="shared" si="67"/>
        <v>207.44764919661807</v>
      </c>
      <c r="I251">
        <f t="shared" si="68"/>
        <v>-13.426839985689076</v>
      </c>
      <c r="J251">
        <f t="shared" si="69"/>
        <v>207.88171441760915</v>
      </c>
      <c r="K251" s="5">
        <f t="shared" si="70"/>
        <v>29.004721005892755</v>
      </c>
      <c r="N251" s="5">
        <f t="shared" si="71"/>
        <v>-163.80000000000001</v>
      </c>
      <c r="O251" s="5">
        <f t="shared" si="72"/>
        <v>-39.337745951531303</v>
      </c>
      <c r="P251" s="6">
        <f t="shared" si="73"/>
        <v>-135.40140968044898</v>
      </c>
      <c r="Q251" s="6"/>
      <c r="R251" s="6">
        <f t="shared" si="74"/>
        <v>220.6553667416525</v>
      </c>
      <c r="S251" s="6">
        <f t="shared" si="75"/>
        <v>-7.1762747130637958</v>
      </c>
      <c r="T251" s="6">
        <f t="shared" si="76"/>
        <v>-7.1762747130637958</v>
      </c>
      <c r="U251" s="6">
        <f t="shared" si="77"/>
        <v>139.55032864417856</v>
      </c>
      <c r="V251" s="6">
        <f t="shared" si="78"/>
        <v>139.55032864417856</v>
      </c>
      <c r="W251" s="6">
        <f t="shared" si="79"/>
        <v>16.386917070517626</v>
      </c>
      <c r="X251" s="6">
        <f t="shared" si="80"/>
        <v>140.5091643835884</v>
      </c>
      <c r="Y251" s="6">
        <f t="shared" si="81"/>
        <v>-57.04901731624264</v>
      </c>
    </row>
    <row r="252" ht="14.25">
      <c r="A252">
        <v>-92</v>
      </c>
      <c r="B252">
        <f t="shared" si="63"/>
        <v>-27.600000000000001</v>
      </c>
      <c r="E252">
        <f t="shared" si="64"/>
        <v>-1.4628000000000001</v>
      </c>
      <c r="F252">
        <f t="shared" si="65"/>
        <v>-1.4628000000000001</v>
      </c>
      <c r="G252">
        <f t="shared" si="66"/>
        <v>207.26795009683275</v>
      </c>
      <c r="H252">
        <f t="shared" si="67"/>
        <v>207.26795009683275</v>
      </c>
      <c r="I252">
        <f t="shared" si="68"/>
        <v>-13.442739985689077</v>
      </c>
      <c r="J252">
        <f t="shared" si="69"/>
        <v>207.70341931625967</v>
      </c>
      <c r="K252" s="5">
        <f t="shared" si="70"/>
        <v>29.004721005892755</v>
      </c>
      <c r="N252" s="5">
        <f t="shared" si="71"/>
        <v>-165.59999999999999</v>
      </c>
      <c r="O252" s="5">
        <f t="shared" si="72"/>
        <v>-35.065274090244586</v>
      </c>
      <c r="P252" s="6">
        <f t="shared" si="73"/>
        <v>-136.57022571913697</v>
      </c>
      <c r="Q252" s="6"/>
      <c r="R252" s="6">
        <f t="shared" si="74"/>
        <v>220.88180775030071</v>
      </c>
      <c r="S252" s="6">
        <f t="shared" si="75"/>
        <v>-7.2382219631142597</v>
      </c>
      <c r="T252" s="6">
        <f t="shared" si="76"/>
        <v>-7.2382219631142597</v>
      </c>
      <c r="U252" s="6">
        <f t="shared" si="77"/>
        <v>139.07665235293712</v>
      </c>
      <c r="V252" s="6">
        <f t="shared" si="78"/>
        <v>139.07665235293712</v>
      </c>
      <c r="W252" s="6">
        <f t="shared" si="79"/>
        <v>13.765771996029152</v>
      </c>
      <c r="X252" s="6">
        <f t="shared" si="80"/>
        <v>139.7562582081618</v>
      </c>
      <c r="Y252" s="6">
        <f t="shared" si="81"/>
        <v>-50.852924599135207</v>
      </c>
    </row>
    <row r="253" ht="14.25">
      <c r="A253">
        <v>-93</v>
      </c>
      <c r="B253">
        <f t="shared" si="63"/>
        <v>-27.899999999999999</v>
      </c>
      <c r="E253">
        <f t="shared" si="64"/>
        <v>-1.4786999999999999</v>
      </c>
      <c r="F253">
        <f t="shared" si="65"/>
        <v>-1.4786999999999999</v>
      </c>
      <c r="G253">
        <f t="shared" si="66"/>
        <v>207.0882509970474</v>
      </c>
      <c r="H253">
        <f t="shared" si="67"/>
        <v>207.0882509970474</v>
      </c>
      <c r="I253">
        <f t="shared" si="68"/>
        <v>-13.458639985689077</v>
      </c>
      <c r="J253">
        <f t="shared" si="69"/>
        <v>207.5251278551118</v>
      </c>
      <c r="K253" s="5">
        <f t="shared" si="70"/>
        <v>29.004721005892755</v>
      </c>
      <c r="N253" s="5">
        <f t="shared" si="71"/>
        <v>-167.40000000000001</v>
      </c>
      <c r="O253" s="5">
        <f t="shared" si="72"/>
        <v>-30.758197036912467</v>
      </c>
      <c r="P253" s="6">
        <f t="shared" si="73"/>
        <v>-137.6042634333634</v>
      </c>
      <c r="Q253" s="6"/>
      <c r="R253" s="6">
        <f t="shared" si="74"/>
        <v>221.1100828341273</v>
      </c>
      <c r="S253" s="6">
        <f t="shared" si="75"/>
        <v>-7.2930259619682598</v>
      </c>
      <c r="T253" s="6">
        <f t="shared" si="76"/>
        <v>-7.2930259619682598</v>
      </c>
      <c r="U253" s="6">
        <f t="shared" si="77"/>
        <v>138.68554194879511</v>
      </c>
      <c r="V253" s="6">
        <f t="shared" si="78"/>
        <v>138.68554194879511</v>
      </c>
      <c r="W253" s="6">
        <f t="shared" si="79"/>
        <v>11.131041766542287</v>
      </c>
      <c r="X253" s="6">
        <f t="shared" si="80"/>
        <v>139.1315192055327</v>
      </c>
      <c r="Y253" s="6">
        <f t="shared" si="81"/>
        <v>-44.606646184996166</v>
      </c>
    </row>
    <row r="254" ht="14.25">
      <c r="A254">
        <v>-94</v>
      </c>
      <c r="B254">
        <f t="shared" si="63"/>
        <v>-28.199999999999999</v>
      </c>
      <c r="E254">
        <f t="shared" si="64"/>
        <v>-1.4945999999999999</v>
      </c>
      <c r="F254">
        <f t="shared" si="65"/>
        <v>-1.4945999999999999</v>
      </c>
      <c r="G254">
        <f t="shared" si="66"/>
        <v>206.90855189726207</v>
      </c>
      <c r="H254">
        <f t="shared" si="67"/>
        <v>206.90855189726207</v>
      </c>
      <c r="I254">
        <f t="shared" si="68"/>
        <v>-13.474539985689077</v>
      </c>
      <c r="J254">
        <f t="shared" si="69"/>
        <v>207.34684004355583</v>
      </c>
      <c r="K254" s="5">
        <f t="shared" si="70"/>
        <v>29.004721005892755</v>
      </c>
      <c r="N254" s="5">
        <f t="shared" si="71"/>
        <v>-169.19999999999999</v>
      </c>
      <c r="O254" s="5">
        <f t="shared" si="72"/>
        <v>-26.420765356587228</v>
      </c>
      <c r="P254" s="6">
        <f t="shared" si="73"/>
        <v>-138.5025023527451</v>
      </c>
      <c r="Q254" s="6"/>
      <c r="R254" s="6">
        <f t="shared" si="74"/>
        <v>221.33996671318454</v>
      </c>
      <c r="S254" s="6">
        <f t="shared" si="75"/>
        <v>-7.3406326246954903</v>
      </c>
      <c r="T254" s="6">
        <f t="shared" si="76"/>
        <v>-7.3406326246954903</v>
      </c>
      <c r="U254" s="6">
        <f t="shared" si="77"/>
        <v>138.3773834105022</v>
      </c>
      <c r="V254" s="6">
        <f t="shared" si="78"/>
        <v>138.3773834105022</v>
      </c>
      <c r="W254" s="6">
        <f t="shared" si="79"/>
        <v>8.485326542698914</v>
      </c>
      <c r="X254" s="6">
        <f t="shared" si="80"/>
        <v>138.63730019757801</v>
      </c>
      <c r="Y254" s="6">
        <f t="shared" si="81"/>
        <v>-38.31634639649846</v>
      </c>
    </row>
    <row r="255" ht="14.25">
      <c r="A255">
        <v>-95</v>
      </c>
      <c r="B255">
        <f t="shared" si="63"/>
        <v>-28.5</v>
      </c>
      <c r="E255">
        <f t="shared" si="64"/>
        <v>-1.5105</v>
      </c>
      <c r="F255">
        <f t="shared" si="65"/>
        <v>-1.5105</v>
      </c>
      <c r="G255">
        <f t="shared" si="66"/>
        <v>206.72885279747672</v>
      </c>
      <c r="H255">
        <f t="shared" si="67"/>
        <v>206.72885279747672</v>
      </c>
      <c r="I255">
        <f t="shared" si="68"/>
        <v>-13.490439985689077</v>
      </c>
      <c r="J255">
        <f t="shared" si="69"/>
        <v>207.16855589101419</v>
      </c>
      <c r="K255" s="5">
        <f t="shared" si="70"/>
        <v>29.004721005892755</v>
      </c>
      <c r="N255" s="5">
        <f t="shared" si="71"/>
        <v>-171</v>
      </c>
      <c r="O255" s="5">
        <f t="shared" si="72"/>
        <v>-22.057259570672567</v>
      </c>
      <c r="P255" s="6">
        <f t="shared" si="73"/>
        <v>-139.26405602391441</v>
      </c>
      <c r="Q255" s="6"/>
      <c r="R255" s="6">
        <f t="shared" si="74"/>
        <v>221.57123251983802</v>
      </c>
      <c r="S255" s="6">
        <f t="shared" si="75"/>
        <v>-7.380994969267463</v>
      </c>
      <c r="T255" s="6">
        <f t="shared" si="76"/>
        <v>-7.380994969267463</v>
      </c>
      <c r="U255" s="6">
        <f t="shared" si="77"/>
        <v>138.15248085333121</v>
      </c>
      <c r="V255" s="6">
        <f t="shared" si="78"/>
        <v>138.15248085333121</v>
      </c>
      <c r="W255" s="6">
        <f t="shared" si="79"/>
        <v>5.8312373260037047</v>
      </c>
      <c r="X255" s="6">
        <f t="shared" si="80"/>
        <v>138.27549057834591</v>
      </c>
      <c r="Y255" s="6">
        <f t="shared" si="81"/>
        <v>-31.988233000095782</v>
      </c>
    </row>
    <row r="256" ht="14.25">
      <c r="A256">
        <v>-96</v>
      </c>
      <c r="B256">
        <f t="shared" si="63"/>
        <v>-28.800000000000001</v>
      </c>
      <c r="E256">
        <f t="shared" si="64"/>
        <v>-1.5264</v>
      </c>
      <c r="F256">
        <f t="shared" si="65"/>
        <v>-1.5264</v>
      </c>
      <c r="G256">
        <f t="shared" si="66"/>
        <v>206.54915369769139</v>
      </c>
      <c r="H256">
        <f t="shared" si="67"/>
        <v>206.54915369769139</v>
      </c>
      <c r="I256">
        <f t="shared" si="68"/>
        <v>-13.506339985689078</v>
      </c>
      <c r="J256">
        <f t="shared" si="69"/>
        <v>206.99027540694166</v>
      </c>
      <c r="K256" s="5">
        <f t="shared" si="70"/>
        <v>29.004721005892755</v>
      </c>
      <c r="N256" s="5">
        <f t="shared" si="71"/>
        <v>-172.80000000000001</v>
      </c>
      <c r="O256" s="5">
        <f t="shared" si="72"/>
        <v>-17.671985932566876</v>
      </c>
      <c r="P256" s="6">
        <f t="shared" si="73"/>
        <v>-139.88817288534139</v>
      </c>
      <c r="Q256" s="6"/>
      <c r="R256" s="6">
        <f t="shared" si="74"/>
        <v>221.80365202265762</v>
      </c>
      <c r="S256" s="6">
        <f t="shared" si="75"/>
        <v>-7.4140731629230938</v>
      </c>
      <c r="T256" s="6">
        <f t="shared" si="76"/>
        <v>-7.4140731629230938</v>
      </c>
      <c r="U256" s="6">
        <f t="shared" si="77"/>
        <v>138.01105622895324</v>
      </c>
      <c r="V256" s="6">
        <f t="shared" si="78"/>
        <v>138.01105622895324</v>
      </c>
      <c r="W256" s="6">
        <f t="shared" si="79"/>
        <v>3.1713933820815452</v>
      </c>
      <c r="X256" s="6">
        <f t="shared" si="80"/>
        <v>138.04748957302775</v>
      </c>
      <c r="Y256" s="6">
        <f t="shared" si="81"/>
        <v>-25.628551079708188</v>
      </c>
    </row>
    <row r="257" ht="14.25">
      <c r="A257">
        <v>-97</v>
      </c>
      <c r="B257">
        <f t="shared" si="63"/>
        <v>-29.100000000000001</v>
      </c>
      <c r="E257">
        <f t="shared" si="64"/>
        <v>-1.5423</v>
      </c>
      <c r="F257">
        <f t="shared" si="65"/>
        <v>-1.5423</v>
      </c>
      <c r="G257">
        <f t="shared" si="66"/>
        <v>206.36945459790604</v>
      </c>
      <c r="H257">
        <f t="shared" si="67"/>
        <v>206.36945459790604</v>
      </c>
      <c r="I257">
        <f t="shared" si="68"/>
        <v>-13.522239985689076</v>
      </c>
      <c r="J257">
        <f t="shared" si="69"/>
        <v>206.81199860082532</v>
      </c>
      <c r="K257" s="5">
        <f t="shared" si="70"/>
        <v>29.004721005892755</v>
      </c>
      <c r="N257" s="5">
        <f t="shared" si="71"/>
        <v>-174.59999999999999</v>
      </c>
      <c r="O257" s="5">
        <f t="shared" si="72"/>
        <v>-13.269272177910524</v>
      </c>
      <c r="P257" s="6">
        <f t="shared" si="73"/>
        <v>-140.37423700903429</v>
      </c>
      <c r="Q257" s="6"/>
      <c r="R257" s="6">
        <f t="shared" si="74"/>
        <v>222.03699585165441</v>
      </c>
      <c r="S257" s="6">
        <f t="shared" si="75"/>
        <v>-7.4398345614788175</v>
      </c>
      <c r="T257" s="6">
        <f t="shared" si="76"/>
        <v>-7.4398345614788175</v>
      </c>
      <c r="U257" s="6">
        <f t="shared" si="77"/>
        <v>137.95324910639815</v>
      </c>
      <c r="V257" s="6">
        <f t="shared" si="78"/>
        <v>137.95324910639815</v>
      </c>
      <c r="W257" s="6">
        <f t="shared" si="79"/>
        <v>0.50841965577827608</v>
      </c>
      <c r="X257" s="6">
        <f t="shared" si="80"/>
        <v>137.95418598055775</v>
      </c>
      <c r="Y257" s="6">
        <f t="shared" si="81"/>
        <v>-19.243576873577485</v>
      </c>
    </row>
    <row r="258" ht="14.25">
      <c r="A258">
        <v>-98</v>
      </c>
      <c r="B258">
        <f t="shared" si="63"/>
        <v>-29.399999999999999</v>
      </c>
      <c r="E258">
        <f t="shared" si="64"/>
        <v>-1.5581999999999998</v>
      </c>
      <c r="F258">
        <f t="shared" si="65"/>
        <v>-1.5581999999999998</v>
      </c>
      <c r="G258">
        <f t="shared" si="66"/>
        <v>206.18975549812072</v>
      </c>
      <c r="H258">
        <f t="shared" si="67"/>
        <v>206.18975549812072</v>
      </c>
      <c r="I258">
        <f t="shared" si="68"/>
        <v>-13.538139985689076</v>
      </c>
      <c r="J258">
        <f t="shared" si="69"/>
        <v>206.63372548218481</v>
      </c>
      <c r="K258" s="5">
        <f t="shared" si="70"/>
        <v>29.004721005892755</v>
      </c>
      <c r="N258" s="5">
        <f t="shared" si="71"/>
        <v>-176.40000000000001</v>
      </c>
      <c r="O258" s="5">
        <f t="shared" si="72"/>
        <v>-8.8534632536332154</v>
      </c>
      <c r="P258" s="6">
        <f t="shared" si="73"/>
        <v>-140.72176870838629</v>
      </c>
      <c r="Q258" s="6"/>
      <c r="R258" s="6">
        <f t="shared" si="74"/>
        <v>222.27103372464109</v>
      </c>
      <c r="S258" s="6">
        <f t="shared" si="75"/>
        <v>-7.458253741544473</v>
      </c>
      <c r="T258" s="6">
        <f t="shared" si="76"/>
        <v>-7.458253741544473</v>
      </c>
      <c r="U258" s="6">
        <f t="shared" si="77"/>
        <v>137.97911653431674</v>
      </c>
      <c r="V258" s="6">
        <f t="shared" si="78"/>
        <v>137.97911653431674</v>
      </c>
      <c r="W258" s="6">
        <f t="shared" si="79"/>
        <v>-2.1550558193429996</v>
      </c>
      <c r="X258" s="6">
        <f t="shared" si="80"/>
        <v>137.99594510410458</v>
      </c>
      <c r="Y258" s="6">
        <f t="shared" si="81"/>
        <v>-12.839611580377747</v>
      </c>
    </row>
    <row r="259" ht="14.25">
      <c r="A259">
        <v>-99</v>
      </c>
      <c r="B259">
        <f t="shared" si="63"/>
        <v>-29.699999999999999</v>
      </c>
      <c r="E259">
        <f t="shared" si="64"/>
        <v>-1.5740999999999998</v>
      </c>
      <c r="F259">
        <f t="shared" si="65"/>
        <v>-1.5740999999999998</v>
      </c>
      <c r="G259">
        <f t="shared" si="66"/>
        <v>206.01005639833539</v>
      </c>
      <c r="H259">
        <f t="shared" si="67"/>
        <v>206.01005639833539</v>
      </c>
      <c r="I259">
        <f t="shared" si="68"/>
        <v>-13.554039985689077</v>
      </c>
      <c r="J259">
        <f t="shared" si="69"/>
        <v>206.45545606057252</v>
      </c>
      <c r="K259" s="5">
        <f t="shared" si="70"/>
        <v>29.004721005892755</v>
      </c>
      <c r="N259" s="5">
        <f t="shared" si="71"/>
        <v>-178.19999999999999</v>
      </c>
      <c r="O259" s="5">
        <f t="shared" si="72"/>
        <v>-4.4289170300160814</v>
      </c>
      <c r="P259" s="6">
        <f t="shared" si="73"/>
        <v>-140.93042501156816</v>
      </c>
      <c r="Q259" s="6"/>
      <c r="R259" s="6">
        <f t="shared" si="74"/>
        <v>222.50553467449282</v>
      </c>
      <c r="S259" s="6">
        <f t="shared" si="75"/>
        <v>-7.4693125256131125</v>
      </c>
      <c r="T259" s="6">
        <f t="shared" si="76"/>
        <v>-7.4693125256131125</v>
      </c>
      <c r="U259" s="6">
        <f t="shared" si="77"/>
        <v>138.08863298468077</v>
      </c>
      <c r="V259" s="6">
        <f t="shared" si="78"/>
        <v>138.08863298468077</v>
      </c>
      <c r="W259" s="6">
        <f t="shared" si="79"/>
        <v>-4.816404514553664</v>
      </c>
      <c r="X259" s="6">
        <f t="shared" si="80"/>
        <v>138.17260333374949</v>
      </c>
      <c r="Y259" s="6">
        <f t="shared" si="81"/>
        <v>-6.4229751406931799</v>
      </c>
    </row>
    <row r="260" ht="14.25">
      <c r="A260">
        <v>-100</v>
      </c>
      <c r="B260">
        <f t="shared" si="63"/>
        <v>-30</v>
      </c>
      <c r="E260">
        <f t="shared" si="64"/>
        <v>-1.5899999999999999</v>
      </c>
      <c r="F260">
        <f t="shared" si="65"/>
        <v>-1.5899999999999999</v>
      </c>
      <c r="G260">
        <f t="shared" si="66"/>
        <v>205.83035729855004</v>
      </c>
      <c r="H260">
        <f t="shared" si="67"/>
        <v>205.83035729855004</v>
      </c>
      <c r="I260">
        <f t="shared" si="68"/>
        <v>-13.569939985689077</v>
      </c>
      <c r="J260">
        <f t="shared" si="69"/>
        <v>206.27719034557353</v>
      </c>
      <c r="K260" s="5">
        <f t="shared" si="70"/>
        <v>29.004721005892755</v>
      </c>
      <c r="N260" s="5">
        <f t="shared" si="71"/>
        <v>-180</v>
      </c>
      <c r="O260" s="5">
        <f t="shared" si="72"/>
        <v>-1.7267519867977681e-14</v>
      </c>
      <c r="P260" s="6">
        <f t="shared" si="73"/>
        <v>-141</v>
      </c>
      <c r="Q260" s="6"/>
      <c r="R260" s="6">
        <f t="shared" si="74"/>
        <v>222.74026727708366</v>
      </c>
      <c r="S260" s="6">
        <f t="shared" si="75"/>
        <v>-7.4729999999999999</v>
      </c>
      <c r="T260" s="6">
        <f t="shared" si="76"/>
        <v>-7.4729999999999999</v>
      </c>
      <c r="U260" s="6">
        <f t="shared" si="77"/>
        <v>138.28169037797568</v>
      </c>
      <c r="V260" s="6">
        <f t="shared" si="78"/>
        <v>138.28169037797568</v>
      </c>
      <c r="W260" s="6">
        <f t="shared" si="79"/>
        <v>-7.4729999999999892</v>
      </c>
      <c r="X260" s="6">
        <f t="shared" si="80"/>
        <v>138.48347057605949</v>
      </c>
      <c r="Y260" s="6">
        <f t="shared" si="81"/>
        <v>-2.5041979811720138e-14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ONLYOFFICE/9.3.0.140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</cp:revision>
  <dcterms:modified xsi:type="dcterms:W3CDTF">2026-02-05T15:35:43Z</dcterms:modified>
</cp:coreProperties>
</file>
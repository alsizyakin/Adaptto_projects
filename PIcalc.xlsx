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  <sheet name="Лист2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<sst xmlns="http://schemas.openxmlformats.org/spreadsheetml/2006/main" count="17" uniqueCount="17">
  <si>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fpwm</t>
  </si>
  <si>
    <t>L</t>
  </si>
  <si>
    <t>R</t>
  </si>
  <si>
    <t>kb</t>
  </si>
  <si>
    <t>bw</t>
  </si>
  <si>
    <t>fсрез</t>
  </si>
  <si>
    <t>крант</t>
  </si>
  <si>
    <t>Kp</t>
  </si>
  <si>
    <t>Ki</t>
  </si>
  <si>
    <t>tau</t>
  </si>
  <si>
    <t>wmax</t>
  </si>
  <si>
    <t>dw</t>
  </si>
  <si>
    <t>w</t>
  </si>
  <si>
    <t>pT</t>
  </si>
  <si>
    <t>w(p)</t>
  </si>
  <si>
    <t>abs(w(p))</t>
  </si>
  <si>
    <t>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</si>
</sst>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11" xfId="0" applyNumberFormat="1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ЛАЧХ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smoothMarker"/>
        <c:varyColors val="0"/>
        <c:ser>
          <c:idx val="1"/>
          <c:order val="0"/>
          <c:tx>
            <c:v>L</c:v>
          </c:tx>
          <c:spPr bwMode="auto">
            <a:prstGeom prst="rect">
              <a:avLst/>
            </a:prstGeom>
            <a:solidFill>
              <a:schemeClr val="accent2"/>
            </a:solidFill>
            <a:ln w="19050" cap="rnd">
              <a:solidFill>
                <a:schemeClr val="accent2"/>
              </a:solidFill>
              <a:round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</c:spPr>
          </c:marker>
          <c:xVal>
            <c:numRef>
              <c:f>'Лист1'!$C$55:$C$155</c:f>
            </c:numRef>
          </c:xVal>
          <c:yVal>
            <c:numRef>
              <c:f>'Лист1'!$G$55:$G$155</c:f>
            </c:numRef>
          </c:yVal>
          <c:smooth val="1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1001"/>
        <c:axId val="1002"/>
      </c:scatterChart>
      <c:valAx>
        <c:axId val="1001"/>
        <c:scaling>
          <c:logBase val="10.000000"/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2"/>
        <c:crosses val="autoZero"/>
        <c:crossBetween val="between"/>
      </c:valAx>
      <c:valAx>
        <c:axId val="100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086474" y="171449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600074</xdr:colOff>
      <xdr:row>0</xdr:row>
      <xdr:rowOff>171449</xdr:rowOff>
    </xdr:from>
    <xdr:to>
      <xdr:col>17</xdr:col>
      <xdr:colOff>276224</xdr:colOff>
      <xdr:row>15</xdr:row>
      <xdr:rowOff>180974</xdr:rowOff>
    </xdr:to>
    <xdr:graphicFrame>
      <xdr:nvGraphicFramePr>
        <xdr:cNvPr id="1706774217" name=""/>
        <xdr:cNvGraphicFramePr>
          <a:graphicFrameLocks xmlns:a="http://schemas.openxmlformats.org/drawingml/2006/main"/>
        </xdr:cNvGraphicFramePr>
      </xdr:nvGraphicFramePr>
      <xdr:xfrm rot="0">
        <a:off x="6086474" y="171449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4" max="4" width="11.28125"/>
    <col bestFit="1" min="5" max="5" width="11.421875"/>
    <col bestFit="1" min="7" max="7" width="11.421875"/>
  </cols>
  <sheetData>
    <row r="1" ht="14.25">
      <c r="A1" t="s">
        <v>0</v>
      </c>
      <c r="B1">
        <v>15000</v>
      </c>
    </row>
    <row r="2" ht="14.25">
      <c r="A2" t="s">
        <v>1</v>
      </c>
      <c r="B2" s="1">
        <v>0.00018000000000000001</v>
      </c>
    </row>
    <row r="3" ht="14.25">
      <c r="A3" t="s">
        <v>2</v>
      </c>
      <c r="B3">
        <v>0.187</v>
      </c>
    </row>
    <row r="5" ht="14.25">
      <c r="A5" t="s">
        <v>3</v>
      </c>
      <c r="B5">
        <f>B3/B2</f>
        <v>1038.8888888888889</v>
      </c>
    </row>
    <row r="6" ht="14.25">
      <c r="A6" t="s">
        <v>4</v>
      </c>
      <c r="B6">
        <v>6000</v>
      </c>
      <c r="D6" t="s">
        <v>5</v>
      </c>
      <c r="E6">
        <f>B6/(2*PI())</f>
        <v>954.92965855137209</v>
      </c>
      <c r="G6" t="s">
        <v>6</v>
      </c>
      <c r="H6">
        <f>B1/E6</f>
        <v>15.707963267948966</v>
      </c>
    </row>
    <row r="8" ht="14.25">
      <c r="A8" t="s">
        <v>7</v>
      </c>
      <c r="B8">
        <f>B2*B6</f>
        <v>1.0800000000000001</v>
      </c>
    </row>
    <row r="9" ht="14.25">
      <c r="A9" t="s">
        <v>8</v>
      </c>
      <c r="B9">
        <f>B5*B8</f>
        <v>1122</v>
      </c>
    </row>
    <row r="50" ht="14.25">
      <c r="A50" t="s">
        <v>4</v>
      </c>
      <c r="B50">
        <f>'Лист1'!B6</f>
        <v>6000</v>
      </c>
      <c r="C50" t="s">
        <v>9</v>
      </c>
      <c r="D50">
        <f>1/B50</f>
        <v>0.00016666666666666666</v>
      </c>
    </row>
    <row r="51" ht="14.25">
      <c r="A51" t="s">
        <v>10</v>
      </c>
      <c r="B51">
        <f>5*B50</f>
        <v>30000</v>
      </c>
    </row>
    <row r="52" ht="14.25">
      <c r="B52">
        <f>ROUNDUP(LOG(B1),0)</f>
        <v>5</v>
      </c>
    </row>
    <row r="53" ht="14.25">
      <c r="A53" t="s">
        <v>11</v>
      </c>
      <c r="B53">
        <f>B52/50</f>
        <v>0.10000000000000001</v>
      </c>
    </row>
    <row r="54" ht="14.25">
      <c r="C54" t="s">
        <v>12</v>
      </c>
      <c r="D54" t="s">
        <v>13</v>
      </c>
      <c r="E54" t="s">
        <v>14</v>
      </c>
      <c r="F54" t="s">
        <v>15</v>
      </c>
      <c r="G54" t="s">
        <v>1</v>
      </c>
    </row>
    <row r="55" ht="14.25">
      <c r="B55">
        <v>0</v>
      </c>
      <c r="C55">
        <f t="shared" ref="C55:C99" si="0">10^B55</f>
        <v>1</v>
      </c>
      <c r="D55" t="str">
        <f t="shared" ref="D55:D99" si="1">COMPLEX(1,C55*$D$50)</f>
        <v>1+0.00016666666666666666i</v>
      </c>
      <c r="E55" s="2" t="str">
        <f t="shared" ref="E55:E99" si="2">IMPOWER(D55,-1)</f>
        <v>0.9999999722222228-0.00016666666267457336i</v>
      </c>
      <c r="F55" s="2">
        <f t="shared" ref="F55:F99" si="3">IMABS(E55)</f>
        <v>0.99999998611111129</v>
      </c>
      <c r="G55">
        <f t="shared" ref="G55:G99" si="4">20*LOG(F55,10)</f>
        <v>-1.2063735533164602e-07</v>
      </c>
      <c r="J55" t="s">
        <v>16</v>
      </c>
    </row>
    <row r="56" ht="14.25">
      <c r="B56">
        <f t="shared" ref="B56:B100" si="5">B55+$B$53</f>
        <v>0.10000000000000001</v>
      </c>
      <c r="C56">
        <f t="shared" si="0"/>
        <v>1.2589254117941673</v>
      </c>
      <c r="D56" t="str">
        <f t="shared" si="1"/>
        <v>1+0.00020982090196569454i</v>
      </c>
      <c r="E56" s="2" t="str">
        <f t="shared" si="2"/>
        <v>0.9999999559751909-0.00020982089303243936i</v>
      </c>
      <c r="F56" s="2">
        <f t="shared" si="3"/>
        <v>0.99999997798759521</v>
      </c>
      <c r="G56">
        <f t="shared" si="4"/>
        <v>-1.9119732075986276e-07</v>
      </c>
    </row>
    <row r="57" ht="14.25">
      <c r="B57" s="2">
        <f t="shared" si="5"/>
        <v>0.20000000000000001</v>
      </c>
      <c r="C57">
        <f t="shared" si="0"/>
        <v>1.5848931924611136</v>
      </c>
      <c r="D57" t="str">
        <f t="shared" si="1"/>
        <v>1+0.0002641488654101856i</v>
      </c>
      <c r="E57" s="2" t="str">
        <f t="shared" si="2"/>
        <v>0.9999999302253816-0.00026414884734183425i</v>
      </c>
      <c r="F57" s="2">
        <f t="shared" si="3"/>
        <v>0.99999996511269029</v>
      </c>
      <c r="G57">
        <f t="shared" si="4"/>
        <v>-3.030273271768361e-07</v>
      </c>
    </row>
    <row r="58" ht="14.25">
      <c r="B58" s="2">
        <f t="shared" si="5"/>
        <v>0.30000000000000004</v>
      </c>
      <c r="C58">
        <f t="shared" si="0"/>
        <v>1.9952623149688797</v>
      </c>
      <c r="D58" t="str">
        <f t="shared" si="1"/>
        <v>1+0.00033254371916147996i</v>
      </c>
      <c r="E58" s="2" t="str">
        <f t="shared" si="2"/>
        <v>0.9999998894146871-0.00033254368243750844i</v>
      </c>
      <c r="F58" s="2">
        <f t="shared" si="3"/>
        <v>0.9999999447073421</v>
      </c>
      <c r="G58">
        <f t="shared" si="4"/>
        <v>-4.8026593756379982e-07</v>
      </c>
    </row>
    <row r="59" ht="14.25">
      <c r="B59" s="2">
        <f t="shared" si="5"/>
        <v>0.40000000000000002</v>
      </c>
      <c r="C59">
        <f t="shared" si="0"/>
        <v>2.5118864315095801</v>
      </c>
      <c r="D59" t="str">
        <f t="shared" si="1"/>
        <v>1+0.00041864773858493i</v>
      </c>
      <c r="E59" s="2" t="str">
        <f t="shared" si="2"/>
        <v>0.9999998247341016-0.0004186476652423973i</v>
      </c>
      <c r="F59" s="2">
        <f t="shared" si="3"/>
        <v>0.99999991236704699</v>
      </c>
      <c r="G59">
        <f t="shared" si="4"/>
        <v>-7.611701918134845e-07</v>
      </c>
    </row>
    <row r="60" ht="14.25">
      <c r="B60" s="2">
        <f t="shared" si="5"/>
        <v>0.5</v>
      </c>
      <c r="C60">
        <f t="shared" si="0"/>
        <v>3.1622776601683795</v>
      </c>
      <c r="D60" t="str">
        <f t="shared" si="1"/>
        <v>1+0.0005270462766947299i</v>
      </c>
      <c r="E60" s="2" t="str">
        <f t="shared" si="2"/>
        <v>0.9999997222222994-0.0005270461303210675i</v>
      </c>
      <c r="F60" s="2">
        <f t="shared" si="3"/>
        <v>0.99999986111114014</v>
      </c>
      <c r="G60">
        <f t="shared" si="4"/>
        <v>-1.2063733924545512e-06</v>
      </c>
    </row>
    <row r="61" ht="14.25">
      <c r="B61" s="2">
        <f t="shared" si="5"/>
        <v>0.59999999999999998</v>
      </c>
      <c r="C61">
        <f t="shared" si="0"/>
        <v>3.9810717055349722</v>
      </c>
      <c r="D61" t="str">
        <f t="shared" si="1"/>
        <v>1+0.0006635119509224954i</v>
      </c>
      <c r="E61" s="2" t="str">
        <f t="shared" si="2"/>
        <v>0.9999995597520845-0.0006635116589701431i</v>
      </c>
      <c r="F61" s="2">
        <f t="shared" si="3"/>
        <v>0.99999977987601807</v>
      </c>
      <c r="G61">
        <f t="shared" si="4"/>
        <v>-1.9119728241800917e-06</v>
      </c>
    </row>
    <row r="62" ht="14.25">
      <c r="B62" s="2">
        <f t="shared" si="5"/>
        <v>0.69999999999999996</v>
      </c>
      <c r="C62">
        <f t="shared" si="0"/>
        <v>5.011872336272722</v>
      </c>
      <c r="D62" t="str">
        <f t="shared" si="1"/>
        <v>1+0.0008353120560454536i</v>
      </c>
      <c r="E62" s="2" t="str">
        <f t="shared" si="2"/>
        <v>0.9999993022542557-0.000835311473291607i</v>
      </c>
      <c r="F62" s="2">
        <f t="shared" si="3"/>
        <v>0.99999965112706701</v>
      </c>
      <c r="G62">
        <f t="shared" si="4"/>
        <v>-3.0302723222233509e-06</v>
      </c>
    </row>
    <row r="63" ht="14.25">
      <c r="B63" s="2">
        <f t="shared" si="5"/>
        <v>0.79999999999999993</v>
      </c>
      <c r="C63">
        <f t="shared" si="0"/>
        <v>6.3095734448019316</v>
      </c>
      <c r="D63" t="str">
        <f t="shared" si="1"/>
        <v>1+0.0010515955741336553i</v>
      </c>
      <c r="E63" s="2" t="str">
        <f t="shared" si="2"/>
        <v>0.9999988941479712-0.0010515944113378417i</v>
      </c>
      <c r="F63" s="2">
        <f t="shared" si="3"/>
        <v>0.99999944707383281</v>
      </c>
      <c r="G63">
        <f t="shared" si="4"/>
        <v>-4.8026569939290079e-06</v>
      </c>
    </row>
    <row r="64" ht="14.25">
      <c r="B64" s="2">
        <f t="shared" si="5"/>
        <v>0.89999999999999991</v>
      </c>
      <c r="C64">
        <f t="shared" si="0"/>
        <v>7.9432823472428131</v>
      </c>
      <c r="D64" t="str">
        <f t="shared" si="1"/>
        <v>1+0.0013238803912071354i</v>
      </c>
      <c r="E64" s="2" t="str">
        <f t="shared" si="2"/>
        <v>0.9999982473437815-0.0013238780709248813i</v>
      </c>
      <c r="F64" s="2">
        <f t="shared" si="3"/>
        <v>0.99999912367150701</v>
      </c>
      <c r="G64">
        <f t="shared" si="4"/>
        <v>-7.611695912007508e-06</v>
      </c>
    </row>
    <row r="65" ht="14.25">
      <c r="B65" s="2">
        <f t="shared" si="5"/>
        <v>0.99999999999999989</v>
      </c>
      <c r="C65">
        <f t="shared" si="0"/>
        <v>9.9999999999999964</v>
      </c>
      <c r="D65" t="str">
        <f t="shared" si="1"/>
        <v>1+0.0016666666666666661i</v>
      </c>
      <c r="E65" s="2" t="str">
        <f t="shared" si="2"/>
        <v>0.9999972222299381-0.0016666620370845006i</v>
      </c>
      <c r="F65" s="2">
        <f t="shared" si="3"/>
        <v>0.99999861111400457</v>
      </c>
      <c r="G65">
        <f t="shared" si="4"/>
        <v>-1.2063718853767283e-05</v>
      </c>
    </row>
    <row r="66" ht="14.25">
      <c r="B66" s="2">
        <f t="shared" si="5"/>
        <v>1.0999999999999999</v>
      </c>
      <c r="C66">
        <f t="shared" si="0"/>
        <v>12.589254117941667</v>
      </c>
      <c r="D66" t="str">
        <f t="shared" si="1"/>
        <v>1+0.0020982090196569447i</v>
      </c>
      <c r="E66" s="2" t="str">
        <f t="shared" si="2"/>
        <v>0.9999955975382915-0.002098199782403846i</v>
      </c>
      <c r="F66" s="2">
        <f t="shared" si="3"/>
        <v>0.99999779876672334</v>
      </c>
      <c r="G66">
        <f t="shared" si="4"/>
        <v>-1.911969035212059e-05</v>
      </c>
    </row>
    <row r="67" ht="14.25">
      <c r="B67" s="2">
        <f t="shared" si="5"/>
        <v>1.2</v>
      </c>
      <c r="C67">
        <f t="shared" si="0"/>
        <v>15.848931924611133</v>
      </c>
      <c r="D67" t="str">
        <f t="shared" si="1"/>
        <v>1+0.0026414886541018556i</v>
      </c>
      <c r="E67" s="2" t="str">
        <f t="shared" si="2"/>
        <v>0.9999930225863749-0.002641470223347621i</v>
      </c>
      <c r="F67" s="2">
        <f t="shared" si="3"/>
        <v>0.99999651128710199</v>
      </c>
      <c r="G67">
        <f t="shared" si="4"/>
        <v>-3.0302628069661979e-05</v>
      </c>
    </row>
    <row r="68" ht="14.25">
      <c r="B68" s="2">
        <f t="shared" si="5"/>
        <v>1.3</v>
      </c>
      <c r="C68">
        <f t="shared" si="0"/>
        <v>19.952623149688797</v>
      </c>
      <c r="D68" t="str">
        <f t="shared" si="1"/>
        <v>1+0.0033254371916147996i</v>
      </c>
      <c r="E68" s="2" t="str">
        <f t="shared" si="2"/>
        <v>0.9999889415897741-0.003325400417614249i</v>
      </c>
      <c r="F68" s="2">
        <f t="shared" si="3"/>
        <v>0.99999447077960091</v>
      </c>
      <c r="G68">
        <f t="shared" si="4"/>
        <v>-4.8026330945257605e-05</v>
      </c>
    </row>
    <row r="69" ht="14.25">
      <c r="B69" s="2">
        <f t="shared" si="5"/>
        <v>1.4000000000000001</v>
      </c>
      <c r="C69">
        <f t="shared" si="0"/>
        <v>25.118864315095809</v>
      </c>
      <c r="D69" t="str">
        <f t="shared" si="1"/>
        <v>1+0.004186477385849301i</v>
      </c>
      <c r="E69" s="2" t="str">
        <f t="shared" si="2"/>
        <v>0.9999824737142736-0.0041864040124776816i</v>
      </c>
      <c r="F69" s="2">
        <f t="shared" si="3"/>
        <v>0.99999123681874003</v>
      </c>
      <c r="G69">
        <f t="shared" si="4"/>
        <v>-7.6116358813707426e-05</v>
      </c>
    </row>
    <row r="70" ht="14.25">
      <c r="B70" s="2">
        <f t="shared" si="5"/>
        <v>1.5000000000000002</v>
      </c>
      <c r="C70">
        <f t="shared" si="0"/>
        <v>31.62277660168381</v>
      </c>
      <c r="D70" t="str">
        <f t="shared" si="1"/>
        <v>1+0.005270462766947302i</v>
      </c>
      <c r="E70" s="2" t="str">
        <f t="shared" si="2"/>
        <v>0.9999722229938056-0.005270316369276179i</v>
      </c>
      <c r="F70" s="2">
        <f t="shared" si="3"/>
        <v>0.99998611140045612</v>
      </c>
      <c r="G70">
        <f t="shared" si="4"/>
        <v>-0.00012063568059765962</v>
      </c>
    </row>
    <row r="71" ht="14.25">
      <c r="B71" s="2">
        <f t="shared" si="5"/>
        <v>1.6000000000000003</v>
      </c>
      <c r="C71">
        <f t="shared" si="0"/>
        <v>39.810717055349755</v>
      </c>
      <c r="D71" t="str">
        <f t="shared" si="1"/>
        <v>1+0.006635119509224959i</v>
      </c>
      <c r="E71" s="2" t="str">
        <f t="shared" si="2"/>
        <v>0.9999559771271971-0.006634827412192065i</v>
      </c>
      <c r="F71" s="2">
        <f t="shared" si="3"/>
        <v>0.99997798832134166</v>
      </c>
      <c r="G71">
        <f t="shared" si="4"/>
        <v>-0.00019119311582332772</v>
      </c>
    </row>
    <row r="72" ht="14.25">
      <c r="B72" s="2">
        <f t="shared" si="5"/>
        <v>1.7000000000000004</v>
      </c>
      <c r="C72">
        <f t="shared" si="0"/>
        <v>50.118723362727273</v>
      </c>
      <c r="D72" t="str">
        <f t="shared" si="1"/>
        <v>1+0.008353120560454546i</v>
      </c>
      <c r="E72" s="2" t="str">
        <f t="shared" si="2"/>
        <v>0.9999302302450608-0.00835253776528749i</v>
      </c>
      <c r="F72" s="2">
        <f t="shared" si="3"/>
        <v>0.99996511451403181</v>
      </c>
      <c r="G72">
        <f t="shared" si="4"/>
        <v>-0.00030301676656431542</v>
      </c>
    </row>
    <row r="73" ht="14.25">
      <c r="B73" s="2">
        <f t="shared" si="5"/>
        <v>1.8000000000000005</v>
      </c>
      <c r="C73">
        <f t="shared" si="0"/>
        <v>63.0957344480194</v>
      </c>
      <c r="D73" t="str">
        <f t="shared" si="1"/>
        <v>1+0.010515955741336565i</v>
      </c>
      <c r="E73" s="2" t="str">
        <f t="shared" si="2"/>
        <v>0.9998894269026082-0.010514792959539809i</v>
      </c>
      <c r="F73" s="2">
        <f t="shared" si="3"/>
        <v>0.99994471192291834</v>
      </c>
      <c r="G73">
        <f t="shared" si="4"/>
        <v>-0.00048023941171128218</v>
      </c>
    </row>
    <row r="74" ht="14.25">
      <c r="B74" s="2">
        <f t="shared" si="5"/>
        <v>1.9000000000000006</v>
      </c>
      <c r="C74">
        <f t="shared" si="0"/>
        <v>79.432823472428254</v>
      </c>
      <c r="D74" t="str">
        <f t="shared" si="1"/>
        <v>1+0.013238803912071375i</v>
      </c>
      <c r="E74" s="2" t="str">
        <f t="shared" si="2"/>
        <v>0.9998247647837408-0.013236484007399983i</v>
      </c>
      <c r="F74" s="2">
        <f t="shared" si="3"/>
        <v>0.99991237855311133</v>
      </c>
      <c r="G74">
        <f t="shared" si="4"/>
        <v>-0.00076110356258727045</v>
      </c>
    </row>
    <row r="75" ht="14.25">
      <c r="B75" s="2">
        <f t="shared" si="5"/>
        <v>2.0000000000000004</v>
      </c>
      <c r="C75">
        <f t="shared" si="0"/>
        <v>100.0000000000001</v>
      </c>
      <c r="D75" t="str">
        <f t="shared" si="1"/>
        <v>1+0.016666666666666684i</v>
      </c>
      <c r="E75" s="2" t="str">
        <f t="shared" si="2"/>
        <v>0.9997222993612882-0.016662038322697695i</v>
      </c>
      <c r="F75" s="2">
        <f t="shared" si="3"/>
        <v>0.99986114003959981</v>
      </c>
      <c r="G75">
        <f t="shared" si="4"/>
        <v>-0.0012062060399819637</v>
      </c>
    </row>
    <row r="76" ht="14.25">
      <c r="B76" s="2">
        <f t="shared" si="5"/>
        <v>2.1000000000000005</v>
      </c>
      <c r="C76">
        <f t="shared" si="0"/>
        <v>125.89254117941688</v>
      </c>
      <c r="D76" t="str">
        <f t="shared" si="1"/>
        <v>1+0.020982090196569478i</v>
      </c>
      <c r="E76" s="2" t="str">
        <f t="shared" si="2"/>
        <v>0.99955994562409-0.020972856935960744i</v>
      </c>
      <c r="F76" s="2">
        <f t="shared" si="3"/>
        <v>0.99977994860073582</v>
      </c>
      <c r="G76">
        <f t="shared" si="4"/>
        <v>-0.0019115524963255915</v>
      </c>
    </row>
    <row r="77" ht="14.25">
      <c r="B77" s="2">
        <f t="shared" si="5"/>
        <v>2.2000000000000006</v>
      </c>
      <c r="C77">
        <f t="shared" si="0"/>
        <v>158.48931924611156</v>
      </c>
      <c r="D77" t="str">
        <f t="shared" si="1"/>
        <v>1+0.026414886541018593i</v>
      </c>
      <c r="E77" s="2" t="str">
        <f t="shared" si="2"/>
        <v>0.9993027402793669-0.026396468504612424i</v>
      </c>
      <c r="F77" s="2">
        <f t="shared" si="3"/>
        <v>0.99965130934709756</v>
      </c>
      <c r="G77">
        <f t="shared" si="4"/>
        <v>-0.0030292166894057056</v>
      </c>
    </row>
    <row r="78" ht="14.25">
      <c r="B78" s="2">
        <f t="shared" si="5"/>
        <v>2.3000000000000007</v>
      </c>
      <c r="C78">
        <f t="shared" si="0"/>
        <v>199.52623149688827</v>
      </c>
      <c r="D78" t="str">
        <f t="shared" si="1"/>
        <v>1+0.033254371916148044i</v>
      </c>
      <c r="E78" s="2" t="str">
        <f t="shared" si="2"/>
        <v>0.9988953683090096-0.033217638083066915i</v>
      </c>
      <c r="F78" s="2">
        <f t="shared" si="3"/>
        <v>0.99944753154380728</v>
      </c>
      <c r="G78">
        <f t="shared" si="4"/>
        <v>-0.0048000060871009366</v>
      </c>
    </row>
    <row r="79" ht="14.25">
      <c r="B79" s="2">
        <f t="shared" si="5"/>
        <v>2.4000000000000008</v>
      </c>
      <c r="C79">
        <f t="shared" si="0"/>
        <v>251.18864315095848</v>
      </c>
      <c r="D79" t="str">
        <f t="shared" si="1"/>
        <v>1+0.041864773858493076i</v>
      </c>
      <c r="E79" s="2" t="str">
        <f t="shared" si="2"/>
        <v>0.99825040714994-0.04179152754948134i</v>
      </c>
      <c r="F79" s="2">
        <f t="shared" si="3"/>
        <v>0.99912482060548369</v>
      </c>
      <c r="G79">
        <f t="shared" si="4"/>
        <v>-0.0076050400070605019</v>
      </c>
    </row>
    <row r="80" ht="14.25">
      <c r="B80" s="2">
        <f t="shared" si="5"/>
        <v>2.5000000000000009</v>
      </c>
      <c r="C80">
        <f t="shared" si="0"/>
        <v>316.22776601683859</v>
      </c>
      <c r="D80" t="str">
        <f t="shared" si="1"/>
        <v>1+0.0527046276694731i</v>
      </c>
      <c r="E80" s="2" t="str">
        <f t="shared" si="2"/>
        <v>0.9972299168975072-0.05255863147094013i</v>
      </c>
      <c r="F80" s="2">
        <f t="shared" si="3"/>
        <v>0.9986139979479095</v>
      </c>
      <c r="G80">
        <f t="shared" si="4"/>
        <v>-0.012047011383704479</v>
      </c>
    </row>
    <row r="81" ht="14.25">
      <c r="B81" s="2">
        <f t="shared" si="5"/>
        <v>2.600000000000001</v>
      </c>
      <c r="C81">
        <f t="shared" si="0"/>
        <v>398.10717055349812</v>
      </c>
      <c r="D81" t="str">
        <f t="shared" si="1"/>
        <v>1+0.06635119509224968i</v>
      </c>
      <c r="E81" s="2" t="str">
        <f t="shared" si="2"/>
        <v>0.9956168157954057-0.0660603655819648i</v>
      </c>
      <c r="F81" s="2">
        <f t="shared" si="3"/>
        <v>0.99780600108207684</v>
      </c>
      <c r="G81">
        <f t="shared" si="4"/>
        <v>-0.019077768429945796</v>
      </c>
    </row>
    <row r="82" ht="14.25">
      <c r="B82" s="2">
        <f t="shared" si="5"/>
        <v>2.7000000000000011</v>
      </c>
      <c r="C82">
        <f t="shared" si="0"/>
        <v>501.18723362727349</v>
      </c>
      <c r="D82" t="str">
        <f t="shared" si="1"/>
        <v>1+0.08353120560454558i</v>
      </c>
      <c r="E82" s="2" t="str">
        <f t="shared" si="2"/>
        <v>0.9930708853267236-0.0829524083021161i</v>
      </c>
      <c r="F82" s="2">
        <f t="shared" si="3"/>
        <v>0.99652942020129209</v>
      </c>
      <c r="G82">
        <f t="shared" si="4"/>
        <v>-0.030197504900181964</v>
      </c>
    </row>
    <row r="83" ht="14.25">
      <c r="B83" s="2">
        <f t="shared" si="5"/>
        <v>2.8000000000000012</v>
      </c>
      <c r="C83">
        <f t="shared" si="0"/>
        <v>630.95734448019493</v>
      </c>
      <c r="D83" t="str">
        <f t="shared" si="1"/>
        <v>1+0.10515955741336581i</v>
      </c>
      <c r="E83" s="2" t="str">
        <f t="shared" si="2"/>
        <v>0.9890624210570056-0.1040093664525469i</v>
      </c>
      <c r="F83" s="2">
        <f t="shared" si="3"/>
        <v>0.99451617435665929</v>
      </c>
      <c r="G83">
        <f t="shared" si="4"/>
        <v>-0.047762986301740744</v>
      </c>
    </row>
    <row r="84" ht="14.25">
      <c r="B84" s="2">
        <f t="shared" si="5"/>
        <v>2.9000000000000012</v>
      </c>
      <c r="C84">
        <f t="shared" si="0"/>
        <v>794.32823472428379</v>
      </c>
      <c r="D84" t="str">
        <f t="shared" si="1"/>
        <v>1+0.13238803912071395i</v>
      </c>
      <c r="E84" s="2" t="str">
        <f t="shared" si="2"/>
        <v>0.9827752974472759-0.13010769452532137i</v>
      </c>
      <c r="F84" s="2">
        <f t="shared" si="3"/>
        <v>0.99135023954567947</v>
      </c>
      <c r="G84">
        <f t="shared" si="4"/>
        <v>-0.075457682655880931</v>
      </c>
    </row>
    <row r="85" ht="14.25">
      <c r="B85" s="2">
        <f t="shared" si="5"/>
        <v>3.0000000000000013</v>
      </c>
      <c r="C85">
        <f t="shared" si="0"/>
        <v>1000.0000000000031</v>
      </c>
      <c r="D85" t="str">
        <f t="shared" si="1"/>
        <v>1+0.16666666666666718i</v>
      </c>
      <c r="E85" s="2" t="str">
        <f t="shared" si="2"/>
        <v>0.9729729729729728-0.1621621621621627i</v>
      </c>
      <c r="F85" s="2">
        <f t="shared" si="3"/>
        <v>0.98639392383214353</v>
      </c>
      <c r="G85">
        <f t="shared" si="4"/>
        <v>-0.11899223299707913</v>
      </c>
    </row>
    <row r="86" ht="14.25">
      <c r="B86" s="2">
        <f t="shared" si="5"/>
        <v>3.1000000000000014</v>
      </c>
      <c r="C86">
        <f t="shared" si="0"/>
        <v>1258.9254117941714</v>
      </c>
      <c r="D86" t="str">
        <f t="shared" si="1"/>
        <v>1+0.20982090196569522i</v>
      </c>
      <c r="E86" s="2" t="str">
        <f t="shared" si="2"/>
        <v>0.9578316430395225-0.20097309927383625i</v>
      </c>
      <c r="F86" s="2">
        <f t="shared" si="3"/>
        <v>0.97868873654473154</v>
      </c>
      <c r="G86">
        <f t="shared" si="4"/>
        <v>-0.18710819652509841</v>
      </c>
    </row>
    <row r="87" ht="14.25">
      <c r="B87" s="2">
        <f t="shared" si="5"/>
        <v>3.2000000000000015</v>
      </c>
      <c r="C87">
        <f t="shared" si="0"/>
        <v>1584.893192461119</v>
      </c>
      <c r="D87" t="str">
        <f t="shared" si="1"/>
        <v>1+0.2641488654101865i</v>
      </c>
      <c r="E87" s="2" t="str">
        <f t="shared" si="2"/>
        <v>0.9347763336398285-0.24692010794325467i</v>
      </c>
      <c r="F87" s="2">
        <f t="shared" si="3"/>
        <v>0.96683831825172761</v>
      </c>
      <c r="G87">
        <f t="shared" si="4"/>
        <v>-0.29292291465666076</v>
      </c>
    </row>
    <row r="88" ht="14.25">
      <c r="B88" s="2">
        <f t="shared" si="5"/>
        <v>3.3000000000000016</v>
      </c>
      <c r="C88">
        <f t="shared" si="0"/>
        <v>1995.262314968887</v>
      </c>
      <c r="D88" t="str">
        <f t="shared" si="1"/>
        <v>1+0.3325437191614812i</v>
      </c>
      <c r="E88" s="2" t="str">
        <f t="shared" si="2"/>
        <v>0.900426088253561-0.29943104021786293i</v>
      </c>
      <c r="F88" s="2">
        <f t="shared" si="3"/>
        <v>0.94890783970497428</v>
      </c>
      <c r="G88">
        <f t="shared" si="4"/>
        <v>-0.45551930574639138</v>
      </c>
    </row>
    <row r="89" ht="14.25">
      <c r="B89" s="2">
        <f t="shared" si="5"/>
        <v>3.4000000000000017</v>
      </c>
      <c r="C89">
        <f t="shared" si="0"/>
        <v>2511.8864315095898</v>
      </c>
      <c r="D89" t="str">
        <f t="shared" si="1"/>
        <v>1+0.4186477385849316i</v>
      </c>
      <c r="E89" s="2" t="str">
        <f t="shared" si="2"/>
        <v>0.8508712584154601-0.3562153281625476i</v>
      </c>
      <c r="F89" s="2">
        <f t="shared" si="3"/>
        <v>0.92242683092777633</v>
      </c>
      <c r="G89">
        <f t="shared" si="4"/>
        <v>-0.70136146130952426</v>
      </c>
    </row>
    <row r="90" ht="14.25">
      <c r="B90" s="2">
        <f t="shared" si="5"/>
        <v>3.5000000000000018</v>
      </c>
      <c r="C90">
        <f t="shared" si="0"/>
        <v>3162.2776601683922</v>
      </c>
      <c r="D90" t="str">
        <f t="shared" si="1"/>
        <v>1+0.527046276694732i</v>
      </c>
      <c r="E90" s="2" t="str">
        <f t="shared" si="2"/>
        <v>0.7826086956521726-0.4124709991523982i</v>
      </c>
      <c r="F90" s="2">
        <f t="shared" si="3"/>
        <v>0.88465173692938226</v>
      </c>
      <c r="G90">
        <f t="shared" si="4"/>
        <v>-1.0645533091428732</v>
      </c>
    </row>
    <row r="91" ht="14.25">
      <c r="B91" s="2">
        <f t="shared" si="5"/>
        <v>3.6000000000000019</v>
      </c>
      <c r="C91">
        <f t="shared" si="0"/>
        <v>3981.0717055349896</v>
      </c>
      <c r="D91" t="str">
        <f t="shared" si="1"/>
        <v>1+0.6635119509224983i</v>
      </c>
      <c r="E91" s="2" t="str">
        <f t="shared" si="2"/>
        <v>0.694324813717364-0.4606928117235082i</v>
      </c>
      <c r="F91" s="2">
        <f t="shared" si="3"/>
        <v>0.83326155180553252</v>
      </c>
      <c r="G91">
        <f t="shared" si="4"/>
        <v>-1.5843731368920444</v>
      </c>
    </row>
    <row r="92" ht="14.25">
      <c r="B92" s="2">
        <f t="shared" si="5"/>
        <v>3.700000000000002</v>
      </c>
      <c r="C92">
        <f t="shared" si="0"/>
        <v>5011.8723362727451</v>
      </c>
      <c r="D92" t="str">
        <f t="shared" si="1"/>
        <v>1+0.8353120560454574i</v>
      </c>
      <c r="E92" s="2" t="str">
        <f t="shared" si="2"/>
        <v>0.5890161802484312-0.49201231656735867i</v>
      </c>
      <c r="F92" s="2">
        <f t="shared" si="3"/>
        <v>0.76747389548337808</v>
      </c>
      <c r="G92">
        <f t="shared" si="4"/>
        <v>-2.2987277499881857</v>
      </c>
    </row>
    <row r="93" ht="14.25">
      <c r="B93" s="2">
        <f t="shared" si="5"/>
        <v>3.800000000000002</v>
      </c>
      <c r="C93">
        <f t="shared" si="0"/>
        <v>6309.5734448019621</v>
      </c>
      <c r="D93" t="str">
        <f t="shared" si="1"/>
        <v>1+1.0515955741336602i</v>
      </c>
      <c r="E93" s="2" t="str">
        <f t="shared" si="2"/>
        <v>0.4748668974297668-0.49936792763972554i</v>
      </c>
      <c r="F93" s="2">
        <f t="shared" si="3"/>
        <v>0.68910586808542496</v>
      </c>
      <c r="G93">
        <f t="shared" si="4"/>
        <v>-3.2342810366425647</v>
      </c>
    </row>
    <row r="94" ht="14.25">
      <c r="B94" s="2">
        <f t="shared" si="5"/>
        <v>3.9000000000000021</v>
      </c>
      <c r="C94">
        <f t="shared" si="0"/>
        <v>7943.2823472428536</v>
      </c>
      <c r="D94" t="str">
        <f t="shared" si="1"/>
        <v>1+1.3238803912071422i</v>
      </c>
      <c r="E94" s="2" t="str">
        <f t="shared" si="2"/>
        <v>0.3632850616681546-0.4809459695609474i</v>
      </c>
      <c r="F94" s="2">
        <f t="shared" si="3"/>
        <v>0.60273133456636774</v>
      </c>
      <c r="G94">
        <f t="shared" si="4"/>
        <v>-4.3975246001912858</v>
      </c>
    </row>
    <row r="95" ht="14.25">
      <c r="B95" s="2">
        <f t="shared" si="5"/>
        <v>4.0000000000000018</v>
      </c>
      <c r="C95">
        <f t="shared" si="0"/>
        <v>10000.00000000004</v>
      </c>
      <c r="D95" t="str">
        <f t="shared" si="1"/>
        <v>1+1.6666666666666732i</v>
      </c>
      <c r="E95" s="2" t="str">
        <f t="shared" si="2"/>
        <v>0.26470588235293957-0.4411764705882345i</v>
      </c>
      <c r="F95" s="2">
        <f t="shared" si="3"/>
        <v>0.51449575542752501</v>
      </c>
      <c r="G95">
        <f t="shared" si="4"/>
        <v>-5.7723640760293273</v>
      </c>
    </row>
    <row r="96" ht="14.25">
      <c r="B96" s="2">
        <f t="shared" si="5"/>
        <v>4.1000000000000014</v>
      </c>
      <c r="C96">
        <f t="shared" si="0"/>
        <v>12589.254117941713</v>
      </c>
      <c r="D96" t="str">
        <f t="shared" si="1"/>
        <v>1+2.0982090196569523i</v>
      </c>
      <c r="E96" s="2" t="str">
        <f t="shared" si="2"/>
        <v>0.18510013886389604-0.3883787809039809i</v>
      </c>
      <c r="F96" s="2">
        <f t="shared" si="3"/>
        <v>0.4302326566683381</v>
      </c>
      <c r="G96">
        <f t="shared" si="4"/>
        <v>-7.3259325543509588</v>
      </c>
    </row>
    <row r="97" ht="14.25">
      <c r="B97" s="2">
        <f t="shared" si="5"/>
        <v>4.2000000000000011</v>
      </c>
      <c r="C97">
        <f t="shared" si="0"/>
        <v>15848.931924611174</v>
      </c>
      <c r="D97" t="str">
        <f t="shared" si="1"/>
        <v>1+2.6414886541018623i</v>
      </c>
      <c r="E97" s="2" t="str">
        <f t="shared" si="2"/>
        <v>0.12535314629790842-0.3311189137018959i</v>
      </c>
      <c r="F97" s="2">
        <f t="shared" si="3"/>
        <v>0.35405246263500056</v>
      </c>
      <c r="G97">
        <f t="shared" si="4"/>
        <v>-9.0186476100634927</v>
      </c>
    </row>
    <row r="98" ht="14.25">
      <c r="B98" s="2">
        <f t="shared" si="5"/>
        <v>4.3000000000000007</v>
      </c>
      <c r="C98">
        <f t="shared" si="0"/>
        <v>19952.623149688829</v>
      </c>
      <c r="D98" t="str">
        <f t="shared" si="1"/>
        <v>1+3.3254371916148044i</v>
      </c>
      <c r="E98" s="2" t="str">
        <f t="shared" si="2"/>
        <v>0.08292883057909185-0.27577461746483506i</v>
      </c>
      <c r="F98" s="2">
        <f t="shared" si="3"/>
        <v>0.28797366299557997</v>
      </c>
      <c r="G98">
        <f t="shared" si="4"/>
        <v>-10.81294458778155</v>
      </c>
    </row>
    <row r="99" ht="14.25">
      <c r="B99" s="2">
        <f t="shared" si="5"/>
        <v>4.4000000000000004</v>
      </c>
      <c r="C99">
        <f t="shared" si="0"/>
        <v>25118.864315095823</v>
      </c>
      <c r="D99" t="str">
        <f t="shared" si="1"/>
        <v>1+4.186477385849304i</v>
      </c>
      <c r="E99" s="2" t="str">
        <f t="shared" si="2"/>
        <v>0.05397646535860138-0.22597125159186313i</v>
      </c>
      <c r="F99" s="2">
        <f t="shared" si="3"/>
        <v>0.2323283567681772</v>
      </c>
      <c r="G99">
        <f t="shared" si="4"/>
        <v>-12.677955585626794</v>
      </c>
    </row>
    <row r="100" ht="14.25">
      <c r="B100" s="2">
        <f t="shared" si="5"/>
        <v>4.5</v>
      </c>
      <c r="C100">
        <f t="shared" ref="C100:C105" si="6">10^B100</f>
        <v>31622.776601683792</v>
      </c>
      <c r="D100" t="str">
        <f t="shared" ref="D100:D105" si="7">COMPLEX(1,C100*$D$50)</f>
        <v>1+5.270462766947299i</v>
      </c>
      <c r="E100" s="2" t="str">
        <f t="shared" ref="E100:E105" si="8">IMPOWER(D100,-1)</f>
        <v>0.03474903474903474-0.18314349383214554i</v>
      </c>
      <c r="F100" s="2">
        <f t="shared" ref="F100:F105" si="9">IMABS(E100)</f>
        <v>0.18641092980036009</v>
      </c>
      <c r="G100">
        <f t="shared" ref="G100:G105" si="10">20*LOG(F100,10)</f>
        <v>-14.590572546419265</v>
      </c>
    </row>
    <row r="101" ht="14.25">
      <c r="B101" s="2">
        <f t="shared" ref="B101:B105" si="11">B100+$B$53</f>
        <v>4.5999999999999996</v>
      </c>
      <c r="C101">
        <f t="shared" si="6"/>
        <v>39810.717055349691</v>
      </c>
      <c r="D101" t="str">
        <f t="shared" si="7"/>
        <v>1+6.635119509224948i</v>
      </c>
      <c r="E101" s="2" t="str">
        <f t="shared" si="8"/>
        <v>0.022209976676710454-0.14736584954707257i</v>
      </c>
      <c r="F101" s="2">
        <f t="shared" si="9"/>
        <v>0.14903012003185956</v>
      </c>
      <c r="G101">
        <f t="shared" si="10"/>
        <v>-16.53451897515518</v>
      </c>
    </row>
    <row r="102" ht="14.25">
      <c r="B102" s="2">
        <f t="shared" si="11"/>
        <v>4.6999999999999993</v>
      </c>
      <c r="C102">
        <f t="shared" si="6"/>
        <v>50118.723362727149</v>
      </c>
      <c r="D102" t="str">
        <f t="shared" si="7"/>
        <v>1+8.353120560454524i</v>
      </c>
      <c r="E102" s="2" t="str">
        <f t="shared" si="8"/>
        <v>0.014129358182841277-0.11802423234311775i</v>
      </c>
      <c r="F102" s="2">
        <f t="shared" si="9"/>
        <v>0.11886697683899122</v>
      </c>
      <c r="G102">
        <f t="shared" si="10"/>
        <v>-18.498775652555508</v>
      </c>
    </row>
    <row r="103" ht="14.25">
      <c r="B103" s="2">
        <f t="shared" si="11"/>
        <v>4.7999999999999989</v>
      </c>
      <c r="C103">
        <f t="shared" si="6"/>
        <v>63095.734448019168</v>
      </c>
      <c r="D103" t="str">
        <f t="shared" si="7"/>
        <v>1+10.515955741336528i</v>
      </c>
      <c r="E103" s="2" t="str">
        <f t="shared" si="8"/>
        <v>0.008961751902610327-0.09424138637268868i</v>
      </c>
      <c r="F103" s="2">
        <f t="shared" si="9"/>
        <v>0.094666530001951243</v>
      </c>
      <c r="G103">
        <f t="shared" si="10"/>
        <v>-20.476070832771072</v>
      </c>
    </row>
    <row r="104" ht="14.25">
      <c r="B104" s="2">
        <f t="shared" si="11"/>
        <v>4.8999999999999986</v>
      </c>
      <c r="C104">
        <f t="shared" si="6"/>
        <v>79432.823472427888</v>
      </c>
      <c r="D104" t="str">
        <f t="shared" si="7"/>
        <v>1+13.238803912071313i</v>
      </c>
      <c r="E104" s="2" t="str">
        <f t="shared" si="8"/>
        <v>0.005673246131835436-0.07510699308428645i</v>
      </c>
      <c r="F104" s="2">
        <f t="shared" si="9"/>
        <v>0.075320954135190313</v>
      </c>
      <c r="G104">
        <f t="shared" si="10"/>
        <v>-22.461683743095886</v>
      </c>
    </row>
    <row r="105" ht="14.25">
      <c r="B105" s="2">
        <f t="shared" si="11"/>
        <v>4.9999999999999982</v>
      </c>
      <c r="C105">
        <f t="shared" si="6"/>
        <v>99999.999999999593</v>
      </c>
      <c r="D105" t="str">
        <f t="shared" si="7"/>
        <v>1+16.666666666666597i</v>
      </c>
      <c r="E105" s="2" t="str">
        <f t="shared" si="8"/>
        <v>0.0035870864886409235-0.0597847748106818i</v>
      </c>
      <c r="F105" s="2">
        <f t="shared" si="9"/>
        <v>0.059892290727946967</v>
      </c>
      <c r="G105">
        <f t="shared" si="10"/>
        <v>-24.452581518752822</v>
      </c>
    </row>
    <row r="106" ht="14.25">
      <c r="E106" s="2"/>
      <c r="F106" s="2"/>
    </row>
    <row r="107" ht="14.25">
      <c r="E107" s="2"/>
      <c r="F107" s="2"/>
    </row>
    <row r="108" ht="14.25">
      <c r="E108" s="2"/>
      <c r="F108" s="2"/>
    </row>
    <row r="109" ht="14.25">
      <c r="E109" s="2"/>
      <c r="F109" s="2"/>
    </row>
    <row r="110" ht="14.25">
      <c r="E110" s="2"/>
      <c r="F110" s="2"/>
    </row>
    <row r="111" ht="14.25">
      <c r="E111" s="2"/>
      <c r="F111" s="2"/>
    </row>
    <row r="112" ht="14.25">
      <c r="E112" s="2"/>
      <c r="F112" s="2"/>
    </row>
    <row r="113" ht="14.25">
      <c r="E113" s="2"/>
      <c r="F113" s="2"/>
    </row>
    <row r="114" ht="14.25">
      <c r="E114" s="2"/>
      <c r="F114" s="2"/>
    </row>
    <row r="115" ht="14.25">
      <c r="E115" s="2"/>
      <c r="F115" s="2"/>
    </row>
    <row r="116" ht="14.25">
      <c r="E116" s="2"/>
      <c r="F116" s="2"/>
    </row>
    <row r="117" ht="14.25">
      <c r="E117" s="2"/>
      <c r="F117" s="2"/>
    </row>
    <row r="118" ht="14.25">
      <c r="E118" s="2"/>
      <c r="F118" s="2"/>
    </row>
    <row r="119" ht="14.25">
      <c r="E119" s="2"/>
      <c r="F119" s="2"/>
    </row>
    <row r="120" ht="14.25">
      <c r="E120" s="2"/>
      <c r="F120" s="2"/>
    </row>
    <row r="121" ht="14.25">
      <c r="E121" s="2"/>
      <c r="F121" s="2"/>
    </row>
    <row r="122" ht="14.25">
      <c r="E122" s="2"/>
      <c r="F122" s="2"/>
    </row>
    <row r="123" ht="14.25">
      <c r="E123" s="2"/>
      <c r="F123" s="2"/>
    </row>
    <row r="124" ht="14.25">
      <c r="E124" s="2"/>
      <c r="F124" s="2"/>
    </row>
    <row r="125" ht="14.25">
      <c r="E125" s="2"/>
      <c r="F125" s="2"/>
    </row>
    <row r="126" ht="14.25">
      <c r="E126" s="2"/>
      <c r="F126" s="2"/>
    </row>
    <row r="127" ht="14.25">
      <c r="E127" s="2"/>
      <c r="F127" s="2"/>
    </row>
    <row r="128" ht="14.25">
      <c r="E128" s="2"/>
      <c r="F128" s="2"/>
    </row>
    <row r="129" ht="14.25">
      <c r="E129" s="2"/>
      <c r="F129" s="2"/>
    </row>
    <row r="130" ht="14.25">
      <c r="E130" s="2"/>
      <c r="F130" s="2"/>
    </row>
    <row r="131" ht="14.25">
      <c r="E131" s="2"/>
      <c r="F131" s="2"/>
    </row>
    <row r="132" ht="14.25">
      <c r="E132" s="2"/>
      <c r="F132" s="2"/>
    </row>
    <row r="133" ht="14.25">
      <c r="E133" s="2"/>
      <c r="F133" s="2"/>
    </row>
    <row r="134" ht="14.25">
      <c r="E134" s="2"/>
      <c r="F134" s="2"/>
    </row>
    <row r="135" ht="14.25">
      <c r="E135" s="2"/>
      <c r="F135" s="2"/>
    </row>
    <row r="136" ht="14.25">
      <c r="E136" s="2"/>
      <c r="F136" s="2"/>
    </row>
    <row r="137" ht="14.25">
      <c r="E137" s="2"/>
      <c r="F137" s="2"/>
    </row>
    <row r="138" ht="14.25">
      <c r="E138" s="2"/>
      <c r="F138" s="2"/>
    </row>
    <row r="139" ht="14.25">
      <c r="E139" s="2"/>
      <c r="F139" s="2"/>
    </row>
    <row r="140" ht="14.25">
      <c r="E140" s="2"/>
      <c r="F140" s="2"/>
    </row>
    <row r="141" ht="14.25">
      <c r="E141" s="2"/>
      <c r="F141" s="2"/>
    </row>
    <row r="142" ht="14.25">
      <c r="E142" s="2"/>
      <c r="F142" s="2"/>
    </row>
    <row r="143" ht="14.25">
      <c r="E143" s="2"/>
      <c r="F143" s="2"/>
    </row>
    <row r="144" ht="14.25">
      <c r="E144" s="2"/>
      <c r="F144" s="2"/>
    </row>
    <row r="145" ht="14.25">
      <c r="E145" s="2"/>
      <c r="F145" s="2"/>
    </row>
    <row r="146" ht="14.25">
      <c r="E146" s="2"/>
      <c r="F146" s="2"/>
    </row>
    <row r="147" ht="14.25">
      <c r="E147" s="2"/>
      <c r="F147" s="2"/>
    </row>
    <row r="148" ht="14.25">
      <c r="E148" s="2"/>
      <c r="F148" s="2"/>
    </row>
    <row r="149" ht="14.25">
      <c r="E149" s="2"/>
      <c r="F149" s="2"/>
    </row>
    <row r="150" ht="14.25">
      <c r="E150" s="2"/>
      <c r="F150" s="2"/>
    </row>
    <row r="151" ht="14.25">
      <c r="E151" s="2"/>
      <c r="F151" s="2"/>
    </row>
    <row r="152" ht="14.25">
      <c r="E152" s="2"/>
      <c r="F152" s="2"/>
    </row>
    <row r="153" ht="14.25">
      <c r="E153" s="2"/>
      <c r="F153" s="2"/>
    </row>
    <row r="154" ht="14.25">
      <c r="E154" s="2"/>
      <c r="F154" s="2"/>
    </row>
    <row r="155" ht="14.25">
      <c r="E155" s="2"/>
      <c r="F155" s="2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1" zoomScale="100" workbookViewId="0">
      <selection activeCell="A1" activeCellId="0" sqref="A1"/>
    </sheetView>
  </sheetViews>
  <sheetFormatPr defaultRowHeight="14.25"/>
  <cols>
    <col customWidth="1" min="3" max="3" width="51.57421875"/>
  </cols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2025-12-03T13:09:28Z</dcterms:modified>
</cp:coreProperties>
</file>
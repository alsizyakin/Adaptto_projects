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theme/theme1.xml" ContentType="application/vnd.openxmlformats-officedocument.theme+xml"/>
  <Override PartName="/xl/charts/style1.xml" ContentType="application/vnd.ms-office.chartstyle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1"/>
    <sheet name="Лист2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<sst xmlns="http://schemas.openxmlformats.org/spreadsheetml/2006/main" count="23" uniqueCount="23">
  <si>
    <t>fpwm</t>
  </si>
  <si>
    <t>L</t>
  </si>
  <si>
    <t>R</t>
  </si>
  <si>
    <t>Udc</t>
  </si>
  <si>
    <t>T</t>
  </si>
  <si>
    <t>1/T</t>
  </si>
  <si>
    <t>kb</t>
  </si>
  <si>
    <t>bw</t>
  </si>
  <si>
    <t>fсрез</t>
  </si>
  <si>
    <t>кратн_f</t>
  </si>
  <si>
    <t>Kp</t>
  </si>
  <si>
    <t>Ki</t>
  </si>
  <si>
    <t>kp_anuch</t>
  </si>
  <si>
    <t>ki_anuch</t>
  </si>
  <si>
    <t>bw_anuch</t>
  </si>
  <si>
    <t>tau</t>
  </si>
  <si>
    <t>wmax</t>
  </si>
  <si>
    <t>dw</t>
  </si>
  <si>
    <t>w</t>
  </si>
  <si>
    <t>pT</t>
  </si>
  <si>
    <t>w(p)</t>
  </si>
  <si>
    <t>abs(w(p))</t>
  </si>
  <si>
    <t>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</si>
</sst>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11" xfId="0" applyNumberFormat="1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/>
              <a:t>ЛАЧХ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scatterChart>
        <c:scatterStyle val="smoothMarker"/>
        <c:varyColors val="0"/>
        <c:ser>
          <c:idx val="1"/>
          <c:order val="0"/>
          <c:tx>
            <c:v>L</c:v>
          </c:tx>
          <c:spPr bwMode="auto">
            <a:prstGeom prst="rect">
              <a:avLst/>
            </a:prstGeom>
            <a:solidFill>
              <a:schemeClr val="accent2"/>
            </a:solidFill>
            <a:ln w="19050" cap="rnd">
              <a:solidFill>
                <a:schemeClr val="accent2"/>
              </a:solidFill>
              <a:round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2"/>
              </a:solidFill>
              <a:ln w="9525">
                <a:solidFill>
                  <a:schemeClr val="accent2"/>
                </a:solidFill>
              </a:ln>
            </c:spPr>
          </c:marker>
          <c:xVal>
            <c:numRef>
              <c:f>'Лист1'!$C$55:$C$155</c:f>
            </c:numRef>
          </c:xVal>
          <c:yVal>
            <c:numRef>
              <c:f>'Лист1'!$G$55:$G$155</c:f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1001"/>
        <c:axId val="1002"/>
      </c:scatterChart>
      <c:valAx>
        <c:axId val="1001"/>
        <c:scaling>
          <c:logBase val="10.000000"/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002"/>
        <c:crosses val="autoZero"/>
        <c:crossBetween val="between"/>
      </c:valAx>
      <c:valAx>
        <c:axId val="100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001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showDLblsOverMax val="0"/>
  </c:chart>
  <c:spPr bwMode="auto">
    <a:xfrm rot="0">
      <a:off x="6086474" y="171449"/>
      <a:ext cx="4552949" cy="27241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9</xdr:col>
      <xdr:colOff>600074</xdr:colOff>
      <xdr:row>0</xdr:row>
      <xdr:rowOff>171449</xdr:rowOff>
    </xdr:from>
    <xdr:to>
      <xdr:col>17</xdr:col>
      <xdr:colOff>276224</xdr:colOff>
      <xdr:row>15</xdr:row>
      <xdr:rowOff>180974</xdr:rowOff>
    </xdr:to>
    <xdr:graphicFrame>
      <xdr:nvGraphicFramePr>
        <xdr:cNvPr id="1706774217" name=""/>
        <xdr:cNvGraphicFramePr>
          <a:graphicFrameLocks xmlns:a="http://schemas.openxmlformats.org/drawingml/2006/main"/>
        </xdr:cNvGraphicFramePr>
      </xdr:nvGraphicFramePr>
      <xdr:xfrm rot="0">
        <a:off x="6086474" y="171449"/>
        <a:ext cx="4552949" cy="272414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4" max="4" width="11.28125"/>
    <col bestFit="1" min="5" max="5" width="11.421875"/>
    <col bestFit="1" min="7" max="7" width="11.421875"/>
  </cols>
  <sheetData>
    <row r="1" ht="14.25">
      <c r="A1" t="s">
        <v>0</v>
      </c>
      <c r="B1">
        <v>20000</v>
      </c>
    </row>
    <row r="2" ht="14.25">
      <c r="A2" t="s">
        <v>1</v>
      </c>
      <c r="B2" s="1">
        <v>4.8999999999999998e-05</v>
      </c>
    </row>
    <row r="3" ht="14.25">
      <c r="A3" t="s">
        <v>2</v>
      </c>
      <c r="B3" s="1">
        <v>0.0012999999999999999</v>
      </c>
    </row>
    <row r="4" ht="14.25">
      <c r="A4" t="s">
        <v>3</v>
      </c>
      <c r="B4">
        <v>400</v>
      </c>
    </row>
    <row r="5" ht="14.25">
      <c r="A5" t="s">
        <v>4</v>
      </c>
      <c r="B5">
        <f>1/B1</f>
        <v>5.0000000000000002e-05</v>
      </c>
      <c r="D5" t="s">
        <v>5</v>
      </c>
      <c r="E5">
        <f>1/B5</f>
        <v>20000</v>
      </c>
    </row>
    <row r="10" ht="14.25">
      <c r="A10" t="s">
        <v>6</v>
      </c>
      <c r="B10">
        <f>B3/B2</f>
        <v>26.530612244897959</v>
      </c>
    </row>
    <row r="11" ht="14.25">
      <c r="A11" t="s">
        <v>7</v>
      </c>
      <c r="B11">
        <v>20000</v>
      </c>
      <c r="D11" t="s">
        <v>8</v>
      </c>
      <c r="E11">
        <f>B11/(2*PI())</f>
        <v>3183.098861837907</v>
      </c>
      <c r="G11" t="s">
        <v>9</v>
      </c>
      <c r="H11">
        <f>B1/E11</f>
        <v>6.2831853071795862</v>
      </c>
    </row>
    <row r="13" ht="14.25">
      <c r="A13" t="s">
        <v>10</v>
      </c>
      <c r="B13">
        <f>B2*B11</f>
        <v>0.97999999999999998</v>
      </c>
    </row>
    <row r="14" ht="14.25">
      <c r="A14" t="s">
        <v>11</v>
      </c>
      <c r="B14">
        <f>B10*B13</f>
        <v>26</v>
      </c>
    </row>
    <row r="17" ht="14.25">
      <c r="A17" t="s">
        <v>12</v>
      </c>
      <c r="B17">
        <f>B2/(B5)</f>
        <v>0.97999999999999987</v>
      </c>
    </row>
    <row r="19" ht="14.25">
      <c r="A19" t="s">
        <v>13</v>
      </c>
      <c r="B19">
        <f>B17*B10</f>
        <v>25.999999999999996</v>
      </c>
    </row>
    <row r="21" ht="14.25">
      <c r="A21" t="s">
        <v>14</v>
      </c>
      <c r="B21">
        <f>B17/B2</f>
        <v>19999.999999999996</v>
      </c>
    </row>
    <row r="50" ht="14.25">
      <c r="A50" t="s">
        <v>7</v>
      </c>
      <c r="B50">
        <f>'Лист1'!B11</f>
        <v>20000</v>
      </c>
      <c r="C50" t="s">
        <v>15</v>
      </c>
      <c r="D50">
        <f>1/B50</f>
        <v>5.0000000000000002e-05</v>
      </c>
    </row>
    <row r="51" ht="14.25">
      <c r="A51" t="s">
        <v>16</v>
      </c>
      <c r="B51">
        <f>5*B50</f>
        <v>100000</v>
      </c>
    </row>
    <row r="52" ht="14.25">
      <c r="B52">
        <f>ROUNDUP(LOG(B1),0)</f>
        <v>5</v>
      </c>
    </row>
    <row r="53" ht="14.25">
      <c r="A53" t="s">
        <v>17</v>
      </c>
      <c r="B53">
        <f>B52/50</f>
        <v>0.10000000000000001</v>
      </c>
    </row>
    <row r="54" ht="14.25">
      <c r="C54" t="s">
        <v>18</v>
      </c>
      <c r="D54" t="s">
        <v>19</v>
      </c>
      <c r="E54" t="s">
        <v>20</v>
      </c>
      <c r="F54" t="s">
        <v>21</v>
      </c>
      <c r="G54" t="s">
        <v>1</v>
      </c>
    </row>
    <row r="55" ht="14.25">
      <c r="B55">
        <v>0</v>
      </c>
      <c r="C55">
        <f t="shared" ref="C55:C99" si="0">10^B55</f>
        <v>1</v>
      </c>
      <c r="D55" t="str">
        <f t="shared" ref="D55:D99" si="1">COMPLEX(1,C55*$D$50)</f>
        <v>1+0.00005i</v>
      </c>
      <c r="E55" s="2" t="str">
        <f t="shared" ref="E55:E99" si="2">IMPOWER(D55,-1)</f>
        <v>0.9999999975000002-0.00004999999754949213i</v>
      </c>
      <c r="F55" s="2">
        <f t="shared" ref="F55:F99" si="3">IMABS(E55)</f>
        <v>0.99999999875000023</v>
      </c>
      <c r="G55">
        <f t="shared" ref="G55:G99" si="4">20*LOG(F55,10)</f>
        <v>-1.0857360059726908e-08</v>
      </c>
      <c r="J55" t="s">
        <v>22</v>
      </c>
    </row>
    <row r="56" ht="14.25">
      <c r="B56">
        <f t="shared" ref="B56:B100" si="5">B55+$B$53</f>
        <v>0.10000000000000001</v>
      </c>
      <c r="C56">
        <f t="shared" si="0"/>
        <v>1.2589254117941673</v>
      </c>
      <c r="D56" t="str">
        <f t="shared" si="1"/>
        <v>1+0.00006294627058970837i</v>
      </c>
      <c r="E56" s="2" t="str">
        <f t="shared" si="2"/>
        <v>0.9999999960377672-0.00006294626870979467i</v>
      </c>
      <c r="F56" s="2">
        <f t="shared" si="3"/>
        <v>0.99999999801888362</v>
      </c>
      <c r="G56">
        <f t="shared" si="4"/>
        <v>-1.7207758271736772e-08</v>
      </c>
    </row>
    <row r="57" ht="14.25">
      <c r="B57" s="2">
        <f t="shared" si="5"/>
        <v>0.20000000000000001</v>
      </c>
      <c r="C57">
        <f t="shared" si="0"/>
        <v>1.5848931924611136</v>
      </c>
      <c r="D57" t="str">
        <f t="shared" si="1"/>
        <v>1+0.00007924465962305568i</v>
      </c>
      <c r="E57" s="2" t="str">
        <f t="shared" si="2"/>
        <v>0.9999999937202841-0.00007924465792173298i</v>
      </c>
      <c r="F57" s="2">
        <f t="shared" si="3"/>
        <v>0.99999999686014207</v>
      </c>
      <c r="G57">
        <f t="shared" si="4"/>
        <v>-2.7272459495163429e-08</v>
      </c>
    </row>
    <row r="58" ht="14.25">
      <c r="B58" s="2">
        <f t="shared" si="5"/>
        <v>0.30000000000000004</v>
      </c>
      <c r="C58">
        <f t="shared" si="0"/>
        <v>1.9952623149688797</v>
      </c>
      <c r="D58" t="str">
        <f t="shared" si="1"/>
        <v>1+0.00009976311574844399i</v>
      </c>
      <c r="E58" s="2" t="str">
        <f t="shared" si="2"/>
        <v>0.9999999900473209-0.00009976311443349953i</v>
      </c>
      <c r="F58" s="2">
        <f t="shared" si="3"/>
        <v>0.99999999502366044</v>
      </c>
      <c r="G58">
        <f t="shared" si="4"/>
        <v>-4.3223936350225429e-08</v>
      </c>
    </row>
    <row r="59" ht="14.25">
      <c r="B59" s="2">
        <f t="shared" si="5"/>
        <v>0.40000000000000002</v>
      </c>
      <c r="C59">
        <f t="shared" si="0"/>
        <v>2.5118864315095801</v>
      </c>
      <c r="D59" t="str">
        <f t="shared" si="1"/>
        <v>1+0.000125594321575479i</v>
      </c>
      <c r="E59" s="2" t="str">
        <f t="shared" si="2"/>
        <v>0.9999999842260666-0.00012559431986241675i</v>
      </c>
      <c r="F59" s="2">
        <f t="shared" si="3"/>
        <v>0.99999999211303314</v>
      </c>
      <c r="G59">
        <f t="shared" si="4"/>
        <v>-6.8505323972467447e-08</v>
      </c>
    </row>
    <row r="60" ht="14.25">
      <c r="B60" s="2">
        <f t="shared" si="5"/>
        <v>0.5</v>
      </c>
      <c r="C60">
        <f t="shared" si="0"/>
        <v>3.1622776601683795</v>
      </c>
      <c r="D60" t="str">
        <f t="shared" si="1"/>
        <v>1+0.000158113883008419i</v>
      </c>
      <c r="E60" s="2" t="str">
        <f t="shared" si="2"/>
        <v>0.9999999750000005-0.00015811387935525664i</v>
      </c>
      <c r="F60" s="2">
        <f t="shared" si="3"/>
        <v>0.9999999875000003</v>
      </c>
      <c r="G60">
        <f t="shared" si="4"/>
        <v>-1.0857361856589009e-07</v>
      </c>
    </row>
    <row r="61" ht="14.25">
      <c r="B61" s="2">
        <f t="shared" si="5"/>
        <v>0.59999999999999998</v>
      </c>
      <c r="C61">
        <f t="shared" si="0"/>
        <v>3.9810717055349722</v>
      </c>
      <c r="D61" t="str">
        <f t="shared" si="1"/>
        <v>1+0.00019905358527674862i</v>
      </c>
      <c r="E61" s="2" t="str">
        <f t="shared" si="2"/>
        <v>0.9999999603776719-0.0001990535771265243i</v>
      </c>
      <c r="F61" s="2">
        <f t="shared" si="3"/>
        <v>0.99999998018883574</v>
      </c>
      <c r="G61">
        <f t="shared" si="4"/>
        <v>-1.7207758810875339e-07</v>
      </c>
    </row>
    <row r="62" ht="14.25">
      <c r="B62" s="2">
        <f t="shared" si="5"/>
        <v>0.69999999999999996</v>
      </c>
      <c r="C62">
        <f t="shared" si="0"/>
        <v>5.011872336272722</v>
      </c>
      <c r="D62" t="str">
        <f t="shared" si="1"/>
        <v>1+0.0002505936168136361i</v>
      </c>
      <c r="E62" s="2" t="str">
        <f t="shared" si="2"/>
        <v>0.9999999372028431-0.00025059360125265104i</v>
      </c>
      <c r="F62" s="2">
        <f t="shared" si="3"/>
        <v>0.99999996860142126</v>
      </c>
      <c r="G62">
        <f t="shared" si="4"/>
        <v>-2.7272459398342109e-07</v>
      </c>
    </row>
    <row r="63" ht="14.25">
      <c r="B63" s="2">
        <f t="shared" si="5"/>
        <v>0.79999999999999993</v>
      </c>
      <c r="C63">
        <f t="shared" si="0"/>
        <v>6.3095734448019316</v>
      </c>
      <c r="D63" t="str">
        <f t="shared" si="1"/>
        <v>1+0.0003154786722400966i</v>
      </c>
      <c r="E63" s="2" t="str">
        <f t="shared" si="2"/>
        <v>0.9999999004732174-0.0003154786405665023i</v>
      </c>
      <c r="F63" s="2">
        <f t="shared" si="3"/>
        <v>0.99999995023660748</v>
      </c>
      <c r="G63">
        <f t="shared" si="4"/>
        <v>-4.3223934618044848e-07</v>
      </c>
    </row>
    <row r="64" ht="14.25">
      <c r="B64" s="2">
        <f t="shared" si="5"/>
        <v>0.89999999999999991</v>
      </c>
      <c r="C64">
        <f t="shared" si="0"/>
        <v>7.9432823472428131</v>
      </c>
      <c r="D64" t="str">
        <f t="shared" si="1"/>
        <v>1+0.00039716411736214066i</v>
      </c>
      <c r="E64" s="2" t="str">
        <f t="shared" si="2"/>
        <v>0.999999842260689-0.00039716405434223404i</v>
      </c>
      <c r="F64" s="2">
        <f t="shared" si="3"/>
        <v>0.99999992113034153</v>
      </c>
      <c r="G64">
        <f t="shared" si="4"/>
        <v>-6.8505317628433423e-07</v>
      </c>
    </row>
    <row r="65" ht="14.25">
      <c r="B65" s="2">
        <f t="shared" si="5"/>
        <v>0.99999999999999989</v>
      </c>
      <c r="C65">
        <f t="shared" si="0"/>
        <v>9.9999999999999964</v>
      </c>
      <c r="D65" t="str">
        <f t="shared" si="1"/>
        <v>1+0.0004999999999999998i</v>
      </c>
      <c r="E65" s="2" t="str">
        <f t="shared" si="2"/>
        <v>0.9999997500000627-0.0004999998748365098i</v>
      </c>
      <c r="F65" s="2">
        <f t="shared" si="3"/>
        <v>0.99999987500002352</v>
      </c>
      <c r="G65">
        <f t="shared" si="4"/>
        <v>-1.0857360683309614e-06</v>
      </c>
    </row>
    <row r="66" ht="14.25">
      <c r="B66" s="2">
        <f t="shared" si="5"/>
        <v>1.0999999999999999</v>
      </c>
      <c r="C66">
        <f t="shared" si="0"/>
        <v>12.589254117941667</v>
      </c>
      <c r="D66" t="str">
        <f t="shared" si="1"/>
        <v>1+0.0006294627058970834i</v>
      </c>
      <c r="E66" s="2" t="str">
        <f t="shared" si="2"/>
        <v>0.9999996037768588-0.0006294624565823838i</v>
      </c>
      <c r="F66" s="2">
        <f t="shared" si="3"/>
        <v>0.99999980188840976</v>
      </c>
      <c r="G66">
        <f t="shared" si="4"/>
        <v>-1.720775579332482e-06</v>
      </c>
    </row>
    <row r="67" ht="14.25">
      <c r="B67" s="2">
        <f t="shared" si="5"/>
        <v>1.2</v>
      </c>
      <c r="C67">
        <f t="shared" si="0"/>
        <v>15.848931924611133</v>
      </c>
      <c r="D67" t="str">
        <f t="shared" si="1"/>
        <v>1+0.0007924465962305567i</v>
      </c>
      <c r="E67" s="2" t="str">
        <f t="shared" si="2"/>
        <v>0.9999993720287863-0.000792446098702499i</v>
      </c>
      <c r="F67" s="2">
        <f t="shared" si="3"/>
        <v>0.99999968601434408</v>
      </c>
      <c r="G67">
        <f t="shared" si="4"/>
        <v>-2.7272451834126232e-06</v>
      </c>
    </row>
    <row r="68" ht="14.25">
      <c r="B68" s="2">
        <f t="shared" si="5"/>
        <v>1.3</v>
      </c>
      <c r="C68">
        <f t="shared" si="0"/>
        <v>19.952623149688797</v>
      </c>
      <c r="D68" t="str">
        <f t="shared" si="1"/>
        <v>1+0.00099763115748444i</v>
      </c>
      <c r="E68" s="2" t="str">
        <f t="shared" si="2"/>
        <v>0.9999990047330646-0.0009976301643981795i</v>
      </c>
      <c r="F68" s="2">
        <f t="shared" si="3"/>
        <v>0.99999950236640844</v>
      </c>
      <c r="G68">
        <f t="shared" si="4"/>
        <v>-4.322391531935665e-06</v>
      </c>
    </row>
    <row r="69" ht="14.25">
      <c r="B69" s="2">
        <f t="shared" si="5"/>
        <v>1.4000000000000001</v>
      </c>
      <c r="C69">
        <f t="shared" si="0"/>
        <v>25.118864315095809</v>
      </c>
      <c r="D69" t="str">
        <f t="shared" si="1"/>
        <v>1+0.0012559432157547906i</v>
      </c>
      <c r="E69" s="2" t="str">
        <f t="shared" si="2"/>
        <v>0.9999984226091271-0.001255941234602552i</v>
      </c>
      <c r="F69" s="2">
        <f t="shared" si="3"/>
        <v>0.99999921130425273</v>
      </c>
      <c r="G69">
        <f t="shared" si="4"/>
        <v>-6.8505269202627879e-06</v>
      </c>
    </row>
    <row r="70" ht="14.25">
      <c r="B70" s="2">
        <f t="shared" si="5"/>
        <v>1.5000000000000002</v>
      </c>
      <c r="C70">
        <f t="shared" si="0"/>
        <v>31.62277660168381</v>
      </c>
      <c r="D70" t="str">
        <f t="shared" si="1"/>
        <v>1+0.0015811388300841906i</v>
      </c>
      <c r="E70" s="2" t="str">
        <f t="shared" si="2"/>
        <v>0.99999750000625-0.001581134877257742i</v>
      </c>
      <c r="F70" s="2">
        <f t="shared" si="3"/>
        <v>0.99999875000234373</v>
      </c>
      <c r="G70">
        <f t="shared" si="4"/>
        <v>-1.0857348476048928e-05</v>
      </c>
    </row>
    <row r="71" ht="14.25">
      <c r="B71" s="2">
        <f t="shared" si="5"/>
        <v>1.6000000000000003</v>
      </c>
      <c r="C71">
        <f t="shared" si="0"/>
        <v>39.810717055349755</v>
      </c>
      <c r="D71" t="str">
        <f t="shared" si="1"/>
        <v>1+0.001990535852767488i</v>
      </c>
      <c r="E71" s="2" t="str">
        <f t="shared" si="2"/>
        <v>0.9999960377827181-0.001990527965822909i</v>
      </c>
      <c r="F71" s="2">
        <f t="shared" si="3"/>
        <v>0.99999801888939666</v>
      </c>
      <c r="G71">
        <f t="shared" si="4"/>
        <v>-1.7207725106655813e-05</v>
      </c>
    </row>
    <row r="72" ht="14.25">
      <c r="B72" s="2">
        <f t="shared" si="5"/>
        <v>1.7000000000000004</v>
      </c>
      <c r="C72">
        <f t="shared" si="0"/>
        <v>50.118723362727273</v>
      </c>
      <c r="D72" t="str">
        <f t="shared" si="1"/>
        <v>1+0.0025059361681363636i</v>
      </c>
      <c r="E72" s="2" t="str">
        <f t="shared" si="2"/>
        <v>0.9999937203233561-0.0025059204316219895i</v>
      </c>
      <c r="F72" s="2">
        <f t="shared" si="3"/>
        <v>0.99999686015674882</v>
      </c>
      <c r="G72">
        <f t="shared" si="4"/>
        <v>-2.7272374776055258e-05</v>
      </c>
    </row>
    <row r="73" ht="14.25">
      <c r="B73" s="2">
        <f t="shared" si="5"/>
        <v>1.8000000000000005</v>
      </c>
      <c r="C73">
        <f t="shared" si="0"/>
        <v>63.0957344480194</v>
      </c>
      <c r="D73" t="str">
        <f t="shared" si="1"/>
        <v>1+0.0031547867224009703i</v>
      </c>
      <c r="E73" s="2" t="str">
        <f t="shared" si="2"/>
        <v>0.999990047419791-0.003154755324136573i</v>
      </c>
      <c r="F73" s="2">
        <f t="shared" si="3"/>
        <v>0.99999502369751392</v>
      </c>
      <c r="G73">
        <f t="shared" si="4"/>
        <v>-4.3223721746979703e-05</v>
      </c>
    </row>
    <row r="74" ht="14.25">
      <c r="B74" s="2">
        <f t="shared" si="5"/>
        <v>1.9000000000000006</v>
      </c>
      <c r="C74">
        <f t="shared" si="0"/>
        <v>79.432823472428254</v>
      </c>
      <c r="D74" t="str">
        <f t="shared" si="1"/>
        <v>1+0.003971641173621413i</v>
      </c>
      <c r="E74" s="2" t="str">
        <f t="shared" si="2"/>
        <v>0.9999842263152011-0.003971578526200091i</v>
      </c>
      <c r="F74" s="2">
        <f t="shared" si="3"/>
        <v>0.99999211312649916</v>
      </c>
      <c r="G74">
        <f t="shared" si="4"/>
        <v>-6.8504782962307246e-05</v>
      </c>
    </row>
    <row r="75" ht="14.25">
      <c r="B75" s="2">
        <f t="shared" si="5"/>
        <v>2.0000000000000004</v>
      </c>
      <c r="C75">
        <f t="shared" si="0"/>
        <v>100.0000000000001</v>
      </c>
      <c r="D75" t="str">
        <f t="shared" si="1"/>
        <v>1+0.005000000000000005i</v>
      </c>
      <c r="E75" s="2" t="str">
        <f t="shared" si="2"/>
        <v>0.9999750006249843-0.004999875003126774i</v>
      </c>
      <c r="F75" s="2">
        <f t="shared" si="3"/>
        <v>0.99998750023437022</v>
      </c>
      <c r="G75">
        <f t="shared" si="4"/>
        <v>-0.0001085722633272922</v>
      </c>
    </row>
    <row r="76" ht="14.25">
      <c r="B76" s="2">
        <f t="shared" si="5"/>
        <v>2.1000000000000005</v>
      </c>
      <c r="C76">
        <f t="shared" si="0"/>
        <v>125.89254117941688</v>
      </c>
      <c r="D76" t="str">
        <f t="shared" si="1"/>
        <v>1+0.006294627058970844i</v>
      </c>
      <c r="E76" s="2" t="str">
        <f t="shared" si="2"/>
        <v>0.9999603792400551-0.006294377661080477i</v>
      </c>
      <c r="F76" s="2">
        <f t="shared" si="3"/>
        <v>0.99998018942379796</v>
      </c>
      <c r="G76">
        <f t="shared" si="4"/>
        <v>-0.000172074183007378</v>
      </c>
    </row>
    <row r="77" ht="14.25">
      <c r="B77" s="2">
        <f t="shared" si="5"/>
        <v>2.2000000000000006</v>
      </c>
      <c r="C77">
        <f t="shared" si="0"/>
        <v>158.48931924611156</v>
      </c>
      <c r="D77" t="str">
        <f t="shared" si="1"/>
        <v>1+0.00792446596230558i</v>
      </c>
      <c r="E77" s="2" t="str">
        <f t="shared" si="2"/>
        <v>0.999937206782448-0.007923968359593137i</v>
      </c>
      <c r="F77" s="2">
        <f t="shared" si="3"/>
        <v>0.99996860289833489</v>
      </c>
      <c r="G77">
        <f t="shared" si="4"/>
        <v>-0.00027271604128728815</v>
      </c>
    </row>
    <row r="78" ht="14.25">
      <c r="B78" s="2">
        <f t="shared" si="5"/>
        <v>2.3000000000000007</v>
      </c>
      <c r="C78">
        <f t="shared" si="0"/>
        <v>199.52623149688827</v>
      </c>
      <c r="D78" t="str">
        <f t="shared" si="1"/>
        <v>1+0.009976311574844413i</v>
      </c>
      <c r="E78" s="2" t="str">
        <f t="shared" si="2"/>
        <v>0.9999004831119583-0.009975318763359905i</v>
      </c>
      <c r="F78" s="2">
        <f t="shared" si="3"/>
        <v>0.99995024031796609</v>
      </c>
      <c r="G78">
        <f t="shared" si="4"/>
        <v>-0.00043221786017259617</v>
      </c>
    </row>
    <row r="79" ht="14.25">
      <c r="B79" s="2">
        <f t="shared" si="5"/>
        <v>2.4000000000000008</v>
      </c>
      <c r="C79">
        <f t="shared" si="0"/>
        <v>251.18864315095848</v>
      </c>
      <c r="D79" t="str">
        <f t="shared" si="1"/>
        <v>1+0.012559432157547925i</v>
      </c>
      <c r="E79" s="2" t="str">
        <f t="shared" si="2"/>
        <v>0.9998422855416539-0.012557451353509205i</v>
      </c>
      <c r="F79" s="2">
        <f t="shared" si="3"/>
        <v>0.99992113966135043</v>
      </c>
      <c r="G79">
        <f t="shared" si="4"/>
        <v>-0.00068499920832035504</v>
      </c>
    </row>
    <row r="80" ht="14.25">
      <c r="B80" s="2">
        <f t="shared" si="5"/>
        <v>2.5000000000000009</v>
      </c>
      <c r="C80">
        <f t="shared" si="0"/>
        <v>316.22776601683859</v>
      </c>
      <c r="D80" t="str">
        <f t="shared" si="1"/>
        <v>1+0.01581138830084193i</v>
      </c>
      <c r="E80" s="2" t="str">
        <f t="shared" si="2"/>
        <v>0.9997500624843787-0.01580743644173892i</v>
      </c>
      <c r="F80" s="2">
        <f t="shared" si="3"/>
        <v>0.99987502343261825</v>
      </c>
      <c r="G80">
        <f t="shared" si="4"/>
        <v>-0.001085600510347859</v>
      </c>
    </row>
    <row r="81" ht="14.25">
      <c r="B81" s="2">
        <f t="shared" si="5"/>
        <v>2.600000000000001</v>
      </c>
      <c r="C81">
        <f t="shared" si="0"/>
        <v>398.10717055349812</v>
      </c>
      <c r="D81" t="str">
        <f t="shared" si="1"/>
        <v>1+0.01990535852767491i</v>
      </c>
      <c r="E81" s="2" t="str">
        <f t="shared" si="2"/>
        <v>0.9996039336326074-0.019897474684625167i</v>
      </c>
      <c r="F81" s="2">
        <f t="shared" si="3"/>
        <v>0.99980194720384874</v>
      </c>
      <c r="G81">
        <f t="shared" si="4"/>
        <v>-0.0017204351039957252</v>
      </c>
    </row>
    <row r="82" ht="14.25">
      <c r="B82" s="2">
        <f t="shared" si="5"/>
        <v>2.7000000000000011</v>
      </c>
      <c r="C82">
        <f t="shared" si="0"/>
        <v>501.18723362727349</v>
      </c>
      <c r="D82" t="str">
        <f t="shared" si="1"/>
        <v>1+0.025059361681363676i</v>
      </c>
      <c r="E82" s="2" t="str">
        <f t="shared" si="2"/>
        <v>0.9993724224929789-0.02504363498962911i</v>
      </c>
      <c r="F82" s="2">
        <f t="shared" si="3"/>
        <v>0.99968616199934413</v>
      </c>
      <c r="G82">
        <f t="shared" si="4"/>
        <v>-0.0027263900827155297</v>
      </c>
    </row>
    <row r="83" ht="14.25">
      <c r="B83" s="2">
        <f t="shared" si="5"/>
        <v>2.8000000000000012</v>
      </c>
      <c r="C83">
        <f t="shared" si="0"/>
        <v>630.95734448019493</v>
      </c>
      <c r="D83" t="str">
        <f t="shared" si="1"/>
        <v>1+0.03154786722400975i</v>
      </c>
      <c r="E83" s="2" t="str">
        <f t="shared" si="2"/>
        <v>0.9990057216469711-0.03151649986254232i</v>
      </c>
      <c r="F83" s="2">
        <f t="shared" si="3"/>
        <v>0.9995027371883336</v>
      </c>
      <c r="G83">
        <f t="shared" si="4"/>
        <v>-0.0043202441406669781</v>
      </c>
    </row>
    <row r="84" ht="14.25">
      <c r="B84" s="2">
        <f t="shared" si="5"/>
        <v>2.9000000000000012</v>
      </c>
      <c r="C84">
        <f t="shared" si="0"/>
        <v>794.32823472428379</v>
      </c>
      <c r="D84" t="str">
        <f t="shared" si="1"/>
        <v>1+0.039716411736214194i</v>
      </c>
      <c r="E84" s="2" t="str">
        <f t="shared" si="2"/>
        <v>0.9984250908899742-0.039653861997552206i</v>
      </c>
      <c r="F84" s="2">
        <f t="shared" si="3"/>
        <v>0.99921223515826418</v>
      </c>
      <c r="G84">
        <f t="shared" si="4"/>
        <v>-0.006845135008545322</v>
      </c>
    </row>
    <row r="85" ht="14.25">
      <c r="B85" s="2">
        <f t="shared" si="5"/>
        <v>3.0000000000000013</v>
      </c>
      <c r="C85">
        <f t="shared" si="0"/>
        <v>1000.0000000000031</v>
      </c>
      <c r="D85" t="str">
        <f t="shared" si="1"/>
        <v>1+0.050000000000000155i</v>
      </c>
      <c r="E85" s="2" t="str">
        <f t="shared" si="2"/>
        <v>0.997506234413965-0.0498753117206988i</v>
      </c>
      <c r="F85" s="2">
        <f t="shared" si="3"/>
        <v>0.99875233887784454</v>
      </c>
      <c r="G85">
        <f t="shared" si="4"/>
        <v>-0.010843812922200361</v>
      </c>
    </row>
    <row r="86" ht="14.25">
      <c r="B86" s="2">
        <f t="shared" si="5"/>
        <v>3.1000000000000014</v>
      </c>
      <c r="C86">
        <f t="shared" si="0"/>
        <v>1258.9254117941714</v>
      </c>
      <c r="D86" t="str">
        <f t="shared" si="1"/>
        <v>1+0.06294627058970857i</v>
      </c>
      <c r="E86" s="2" t="str">
        <f t="shared" si="2"/>
        <v>0.9960534043502937-0.06269784711203492i</v>
      </c>
      <c r="F86" s="2">
        <f t="shared" si="3"/>
        <v>0.99802475137157487</v>
      </c>
      <c r="G86">
        <f t="shared" si="4"/>
        <v>-0.017173758404900222</v>
      </c>
    </row>
    <row r="87" ht="14.25">
      <c r="B87" s="2">
        <f t="shared" si="5"/>
        <v>3.2000000000000015</v>
      </c>
      <c r="C87">
        <f t="shared" si="0"/>
        <v>1584.893192461119</v>
      </c>
      <c r="D87" t="str">
        <f t="shared" si="1"/>
        <v>1+0.07924465962305595i</v>
      </c>
      <c r="E87" s="2" t="str">
        <f t="shared" si="2"/>
        <v>0.9937594726610961-0.07875013115821636i</v>
      </c>
      <c r="F87" s="2">
        <f t="shared" si="3"/>
        <v>0.99687485305884638</v>
      </c>
      <c r="G87">
        <f t="shared" si="4"/>
        <v>-0.027187185570221317</v>
      </c>
    </row>
    <row r="88" ht="14.25">
      <c r="B88" s="2">
        <f t="shared" si="5"/>
        <v>3.3000000000000016</v>
      </c>
      <c r="C88">
        <f t="shared" si="0"/>
        <v>1995.262314968887</v>
      </c>
      <c r="D88" t="str">
        <f t="shared" si="1"/>
        <v>1+0.09976311574844436i</v>
      </c>
      <c r="E88" s="2" t="str">
        <f t="shared" si="2"/>
        <v>0.990145400405203-0.09877999018841392i</v>
      </c>
      <c r="F88" s="2">
        <f t="shared" si="3"/>
        <v>0.99506050087680742</v>
      </c>
      <c r="G88">
        <f t="shared" si="4"/>
        <v>-0.043010256479465332</v>
      </c>
    </row>
    <row r="89" ht="14.25">
      <c r="B89" s="2">
        <f t="shared" si="5"/>
        <v>3.4000000000000017</v>
      </c>
      <c r="C89">
        <f t="shared" si="0"/>
        <v>2511.8864315095898</v>
      </c>
      <c r="D89" t="str">
        <f t="shared" si="1"/>
        <v>1+0.1255943215754795i</v>
      </c>
      <c r="E89" s="2" t="str">
        <f t="shared" si="2"/>
        <v>0.9844710194955348-0.12364396980426152i</v>
      </c>
      <c r="F89" s="2">
        <f t="shared" si="3"/>
        <v>0.99220512974663411</v>
      </c>
      <c r="G89">
        <f t="shared" si="4"/>
        <v>-0.067970639427469323</v>
      </c>
    </row>
    <row r="90" ht="14.25">
      <c r="B90" s="2">
        <f t="shared" si="5"/>
        <v>3.5000000000000018</v>
      </c>
      <c r="C90">
        <f t="shared" si="0"/>
        <v>3162.2776601683922</v>
      </c>
      <c r="D90" t="str">
        <f t="shared" si="1"/>
        <v>1+0.1581138830084196i</v>
      </c>
      <c r="E90" s="2" t="str">
        <f t="shared" si="2"/>
        <v>0.9756097560975607-0.15425744683748266i</v>
      </c>
      <c r="F90" s="2">
        <f t="shared" si="3"/>
        <v>0.98772959664958948</v>
      </c>
      <c r="G90">
        <f t="shared" si="4"/>
        <v>-0.10723865391773213</v>
      </c>
    </row>
    <row r="91" ht="14.25">
      <c r="B91" s="2">
        <f t="shared" si="5"/>
        <v>3.6000000000000019</v>
      </c>
      <c r="C91">
        <f t="shared" si="0"/>
        <v>3981.0717055349896</v>
      </c>
      <c r="D91" t="str">
        <f t="shared" si="1"/>
        <v>1+0.1990535852767495i</v>
      </c>
      <c r="E91" s="2" t="str">
        <f t="shared" si="2"/>
        <v>0.9618877657055412-0.1914672083975297i</v>
      </c>
      <c r="F91" s="2">
        <f t="shared" si="3"/>
        <v>0.98075877039440285</v>
      </c>
      <c r="G91">
        <f t="shared" si="4"/>
        <v>-0.16875599041537934</v>
      </c>
    </row>
    <row r="92" ht="14.25">
      <c r="B92" s="2">
        <f t="shared" si="5"/>
        <v>3.700000000000002</v>
      </c>
      <c r="C92">
        <f t="shared" si="0"/>
        <v>5011.8723362727451</v>
      </c>
      <c r="D92" t="str">
        <f t="shared" si="1"/>
        <v>1+0.2505936168136373i</v>
      </c>
      <c r="E92" s="2" t="str">
        <f t="shared" si="2"/>
        <v>0.9409133152546296-0.2357868707777675i</v>
      </c>
      <c r="F92" s="2">
        <f t="shared" si="3"/>
        <v>0.97000686350903176</v>
      </c>
      <c r="G92">
        <f t="shared" si="4"/>
        <v>-0.26450385542658039</v>
      </c>
    </row>
    <row r="93" ht="14.25">
      <c r="B93" s="2">
        <f t="shared" si="5"/>
        <v>3.800000000000002</v>
      </c>
      <c r="C93">
        <f t="shared" si="0"/>
        <v>6309.5734448019621</v>
      </c>
      <c r="D93" t="str">
        <f t="shared" si="1"/>
        <v>1+0.3154786722400981i</v>
      </c>
      <c r="E93" s="2" t="str">
        <f t="shared" si="2"/>
        <v>0.9094821578657893-0.2869222235895588i</v>
      </c>
      <c r="F93" s="2">
        <f t="shared" si="3"/>
        <v>0.95366773976358732</v>
      </c>
      <c r="G93">
        <f t="shared" si="4"/>
        <v>-0.41205816464642331</v>
      </c>
    </row>
    <row r="94" ht="14.25">
      <c r="B94" s="2">
        <f t="shared" si="5"/>
        <v>3.9000000000000021</v>
      </c>
      <c r="C94">
        <f t="shared" si="0"/>
        <v>7943.2823472428536</v>
      </c>
      <c r="D94" t="str">
        <f t="shared" si="1"/>
        <v>1+0.3971641173621427i</v>
      </c>
      <c r="E94" s="2" t="str">
        <f t="shared" si="2"/>
        <v>0.863752287584281-0.3430514149179428i</v>
      </c>
      <c r="F94" s="2">
        <f t="shared" si="3"/>
        <v>0.92938274547372646</v>
      </c>
      <c r="G94">
        <f t="shared" si="4"/>
        <v>-0.63610789419291092</v>
      </c>
    </row>
    <row r="95" ht="14.25">
      <c r="B95" s="2">
        <f t="shared" si="5"/>
        <v>4.0000000000000018</v>
      </c>
      <c r="C95">
        <f t="shared" si="0"/>
        <v>10000.00000000004</v>
      </c>
      <c r="D95" t="str">
        <f t="shared" si="1"/>
        <v>1+0.500000000000002i</v>
      </c>
      <c r="E95" s="2" t="str">
        <f t="shared" si="2"/>
        <v>0.7999999999999986-0.4000000000000011i</v>
      </c>
      <c r="F95" s="2">
        <f t="shared" si="3"/>
        <v>0.89442719099991519</v>
      </c>
      <c r="G95">
        <f t="shared" si="4"/>
        <v>-0.96910013008057072</v>
      </c>
    </row>
    <row r="96" ht="14.25">
      <c r="B96" s="2">
        <f t="shared" si="5"/>
        <v>4.1000000000000014</v>
      </c>
      <c r="C96">
        <f t="shared" si="0"/>
        <v>12589.254117941713</v>
      </c>
      <c r="D96" t="str">
        <f t="shared" si="1"/>
        <v>1+0.6294627058970856i</v>
      </c>
      <c r="E96" s="2" t="str">
        <f t="shared" si="2"/>
        <v>0.7162178151230317-0.4508324039190422i</v>
      </c>
      <c r="F96" s="2">
        <f t="shared" si="3"/>
        <v>0.84629652907419617</v>
      </c>
      <c r="G96">
        <f t="shared" si="4"/>
        <v>-1.4495488059666326</v>
      </c>
    </row>
    <row r="97" ht="14.25">
      <c r="B97" s="2">
        <f t="shared" si="5"/>
        <v>4.2000000000000011</v>
      </c>
      <c r="C97">
        <f t="shared" si="0"/>
        <v>15848.931924611174</v>
      </c>
      <c r="D97" t="str">
        <f t="shared" si="1"/>
        <v>1+0.7924465962305587i</v>
      </c>
      <c r="E97" s="2" t="str">
        <f t="shared" si="2"/>
        <v>0.6142613268936749-0.48676929769295924i</v>
      </c>
      <c r="F97" s="2">
        <f t="shared" si="3"/>
        <v>0.78374825479465982</v>
      </c>
      <c r="G97">
        <f t="shared" si="4"/>
        <v>-2.1164682644403103</v>
      </c>
    </row>
    <row r="98" ht="14.25">
      <c r="B98" s="2">
        <f t="shared" si="5"/>
        <v>4.3000000000000007</v>
      </c>
      <c r="C98">
        <f t="shared" si="0"/>
        <v>19952.623149688829</v>
      </c>
      <c r="D98" t="str">
        <f t="shared" si="1"/>
        <v>1+0.9976311574844414i</v>
      </c>
      <c r="E98" s="2" t="str">
        <f t="shared" si="2"/>
        <v>0.5011858241075496-0.4999985938192086i</v>
      </c>
      <c r="F98" s="2">
        <f t="shared" si="3"/>
        <v>0.70794478888367396</v>
      </c>
      <c r="G98">
        <f t="shared" si="4"/>
        <v>-3.0000122139483483</v>
      </c>
    </row>
    <row r="99" ht="14.25">
      <c r="B99" s="2">
        <f t="shared" si="5"/>
        <v>4.4000000000000004</v>
      </c>
      <c r="C99">
        <f t="shared" si="0"/>
        <v>25118.864315095823</v>
      </c>
      <c r="D99" t="str">
        <f t="shared" si="1"/>
        <v>1+1.2559432157547912i</v>
      </c>
      <c r="E99" s="2" t="str">
        <f t="shared" si="2"/>
        <v>0.38798889414932947-0.4872920193950542i</v>
      </c>
      <c r="F99" s="2">
        <f t="shared" si="3"/>
        <v>0.62288754534773738</v>
      </c>
      <c r="G99">
        <f t="shared" si="4"/>
        <v>-4.1118070553644346</v>
      </c>
    </row>
    <row r="100" ht="14.25">
      <c r="B100" s="2">
        <f t="shared" si="5"/>
        <v>4.5</v>
      </c>
      <c r="C100">
        <f t="shared" ref="C100:C105" si="6">10^B100</f>
        <v>31622.776601683792</v>
      </c>
      <c r="D100" t="str">
        <f t="shared" ref="D100:D105" si="7">COMPLEX(1,C100*$D$50)</f>
        <v>1+1.5811388300841898i</v>
      </c>
      <c r="E100" s="2" t="str">
        <f t="shared" ref="E100:E105" si="8">IMPOWER(D100,-1)</f>
        <v>0.2857142857142857-0.45175395145262554i</v>
      </c>
      <c r="F100" s="2">
        <f t="shared" ref="F100:F105" si="9">IMABS(E100)</f>
        <v>0.53452248382484879</v>
      </c>
      <c r="G100">
        <f t="shared" ref="G100:G105" si="10">20*LOG(F100,10)</f>
        <v>-5.4406804435027558</v>
      </c>
    </row>
    <row r="101" ht="14.25">
      <c r="B101" s="2">
        <f t="shared" ref="B101:B105" si="11">B100+$B$53</f>
        <v>4.5999999999999996</v>
      </c>
      <c r="C101">
        <f t="shared" si="6"/>
        <v>39810.717055349691</v>
      </c>
      <c r="D101" t="str">
        <f t="shared" si="7"/>
        <v>1+1.9905358527674846i</v>
      </c>
      <c r="E101" s="2" t="str">
        <f t="shared" si="8"/>
        <v>0.20152217838181596-0.40113712119680905i</v>
      </c>
      <c r="F101" s="2">
        <f t="shared" si="9"/>
        <v>0.44891221678833371</v>
      </c>
      <c r="G101">
        <f t="shared" si="10"/>
        <v>-6.956771509183949</v>
      </c>
    </row>
    <row r="102" ht="14.25">
      <c r="B102" s="2">
        <f t="shared" si="11"/>
        <v>4.6999999999999993</v>
      </c>
      <c r="C102">
        <f t="shared" si="6"/>
        <v>50118.723362727149</v>
      </c>
      <c r="D102" t="str">
        <f t="shared" si="7"/>
        <v>1+2.5059361681363574i</v>
      </c>
      <c r="E102" s="2" t="str">
        <f t="shared" si="8"/>
        <v>0.13736799473756717-0.3442354263572343i</v>
      </c>
      <c r="F102" s="2">
        <f t="shared" si="9"/>
        <v>0.37063188575400141</v>
      </c>
      <c r="G102">
        <f t="shared" si="10"/>
        <v>-8.6211444142480804</v>
      </c>
    </row>
    <row r="103" ht="14.25">
      <c r="B103" s="2">
        <f t="shared" si="11"/>
        <v>4.7999999999999989</v>
      </c>
      <c r="C103">
        <f t="shared" si="6"/>
        <v>63095.734448019168</v>
      </c>
      <c r="D103" t="str">
        <f t="shared" si="7"/>
        <v>1+3.1547867224009587i</v>
      </c>
      <c r="E103" s="2" t="str">
        <f t="shared" si="8"/>
        <v>0.09130186102515701-0.28803789889266296i</v>
      </c>
      <c r="F103" s="2">
        <f t="shared" si="9"/>
        <v>0.30216197812623125</v>
      </c>
      <c r="G103">
        <f t="shared" si="10"/>
        <v>-10.395203700591386</v>
      </c>
    </row>
    <row r="104" ht="14.25">
      <c r="B104" s="2">
        <f t="shared" si="11"/>
        <v>4.8999999999999986</v>
      </c>
      <c r="C104">
        <f t="shared" si="6"/>
        <v>79432.823472427888</v>
      </c>
      <c r="D104" t="str">
        <f t="shared" si="7"/>
        <v>1+3.9716411736213946i</v>
      </c>
      <c r="E104" s="2" t="str">
        <f t="shared" si="8"/>
        <v>0.05961630844206528-0.23677458522781916i</v>
      </c>
      <c r="F104" s="2">
        <f t="shared" si="9"/>
        <v>0.24416451102087966</v>
      </c>
      <c r="G104">
        <f t="shared" si="10"/>
        <v>-12.24634919831013</v>
      </c>
    </row>
    <row r="105" ht="14.25">
      <c r="B105" s="2">
        <f t="shared" si="11"/>
        <v>4.9999999999999982</v>
      </c>
      <c r="C105">
        <f t="shared" si="6"/>
        <v>99999.999999999593</v>
      </c>
      <c r="D105" t="str">
        <f t="shared" si="7"/>
        <v>1+4.99999999999998i</v>
      </c>
      <c r="E105" s="2" t="str">
        <f t="shared" si="8"/>
        <v>0.03846153846153873-0.19230769230769298i</v>
      </c>
      <c r="F105" s="2">
        <f t="shared" si="9"/>
        <v>0.19611613513818479</v>
      </c>
      <c r="G105">
        <f t="shared" si="10"/>
        <v>-14.149733479708145</v>
      </c>
    </row>
    <row r="106" ht="14.25">
      <c r="E106" s="2"/>
      <c r="F106" s="2"/>
    </row>
    <row r="107" ht="14.25">
      <c r="E107" s="2"/>
      <c r="F107" s="2"/>
    </row>
    <row r="108" ht="14.25">
      <c r="E108" s="2"/>
      <c r="F108" s="2"/>
    </row>
    <row r="109" ht="14.25">
      <c r="E109" s="2"/>
      <c r="F109" s="2"/>
    </row>
    <row r="110" ht="14.25">
      <c r="E110" s="2"/>
      <c r="F110" s="2"/>
    </row>
    <row r="111" ht="14.25">
      <c r="E111" s="2"/>
      <c r="F111" s="2"/>
    </row>
    <row r="112" ht="14.25">
      <c r="E112" s="2"/>
      <c r="F112" s="2"/>
    </row>
    <row r="113" ht="14.25">
      <c r="E113" s="2"/>
      <c r="F113" s="2"/>
    </row>
    <row r="114" ht="14.25">
      <c r="E114" s="2"/>
      <c r="F114" s="2"/>
    </row>
    <row r="115" ht="14.25">
      <c r="E115" s="2"/>
      <c r="F115" s="2"/>
    </row>
    <row r="116" ht="14.25">
      <c r="E116" s="2"/>
      <c r="F116" s="2"/>
    </row>
    <row r="117" ht="14.25">
      <c r="E117" s="2"/>
      <c r="F117" s="2"/>
    </row>
    <row r="118" ht="14.25">
      <c r="E118" s="2"/>
      <c r="F118" s="2"/>
    </row>
    <row r="119" ht="14.25">
      <c r="E119" s="2"/>
      <c r="F119" s="2"/>
    </row>
    <row r="120" ht="14.25">
      <c r="E120" s="2"/>
      <c r="F120" s="2"/>
    </row>
    <row r="121" ht="14.25">
      <c r="E121" s="2"/>
      <c r="F121" s="2"/>
    </row>
    <row r="122" ht="14.25">
      <c r="E122" s="2"/>
      <c r="F122" s="2"/>
    </row>
    <row r="123" ht="14.25">
      <c r="E123" s="2"/>
      <c r="F123" s="2"/>
    </row>
    <row r="124" ht="14.25">
      <c r="E124" s="2"/>
      <c r="F124" s="2"/>
    </row>
    <row r="125" ht="14.25">
      <c r="E125" s="2"/>
      <c r="F125" s="2"/>
    </row>
    <row r="126" ht="14.25">
      <c r="E126" s="2"/>
      <c r="F126" s="2"/>
    </row>
    <row r="127" ht="14.25">
      <c r="E127" s="2"/>
      <c r="F127" s="2"/>
    </row>
    <row r="128" ht="14.25">
      <c r="E128" s="2"/>
      <c r="F128" s="2"/>
    </row>
    <row r="129" ht="14.25">
      <c r="E129" s="2"/>
      <c r="F129" s="2"/>
    </row>
    <row r="130" ht="14.25">
      <c r="E130" s="2"/>
      <c r="F130" s="2"/>
    </row>
    <row r="131" ht="14.25">
      <c r="E131" s="2"/>
      <c r="F131" s="2"/>
    </row>
    <row r="132" ht="14.25">
      <c r="E132" s="2"/>
      <c r="F132" s="2"/>
    </row>
    <row r="133" ht="14.25">
      <c r="E133" s="2"/>
      <c r="F133" s="2"/>
    </row>
    <row r="134" ht="14.25">
      <c r="E134" s="2"/>
      <c r="F134" s="2"/>
    </row>
    <row r="135" ht="14.25">
      <c r="E135" s="2"/>
      <c r="F135" s="2"/>
    </row>
    <row r="136" ht="14.25">
      <c r="E136" s="2"/>
      <c r="F136" s="2"/>
    </row>
    <row r="137" ht="14.25">
      <c r="E137" s="2"/>
      <c r="F137" s="2"/>
    </row>
    <row r="138" ht="14.25">
      <c r="E138" s="2"/>
      <c r="F138" s="2"/>
    </row>
    <row r="139" ht="14.25">
      <c r="E139" s="2"/>
      <c r="F139" s="2"/>
    </row>
    <row r="140" ht="14.25">
      <c r="E140" s="2"/>
      <c r="F140" s="2"/>
    </row>
    <row r="141" ht="14.25">
      <c r="E141" s="2"/>
      <c r="F141" s="2"/>
    </row>
    <row r="142" ht="14.25">
      <c r="E142" s="2"/>
      <c r="F142" s="2"/>
    </row>
    <row r="143" ht="14.25">
      <c r="E143" s="2"/>
      <c r="F143" s="2"/>
    </row>
    <row r="144" ht="14.25">
      <c r="E144" s="2"/>
      <c r="F144" s="2"/>
    </row>
    <row r="145" ht="14.25">
      <c r="E145" s="2"/>
      <c r="F145" s="2"/>
    </row>
    <row r="146" ht="14.25">
      <c r="E146" s="2"/>
      <c r="F146" s="2"/>
    </row>
    <row r="147" ht="14.25">
      <c r="E147" s="2"/>
      <c r="F147" s="2"/>
    </row>
    <row r="148" ht="14.25">
      <c r="E148" s="2"/>
      <c r="F148" s="2"/>
    </row>
    <row r="149" ht="14.25">
      <c r="E149" s="2"/>
      <c r="F149" s="2"/>
    </row>
    <row r="150" ht="14.25">
      <c r="E150" s="2"/>
      <c r="F150" s="2"/>
    </row>
    <row r="151" ht="14.25">
      <c r="E151" s="2"/>
      <c r="F151" s="2"/>
    </row>
    <row r="152" ht="14.25">
      <c r="E152" s="2"/>
      <c r="F152" s="2"/>
    </row>
    <row r="153" ht="14.25">
      <c r="E153" s="2"/>
      <c r="F153" s="2"/>
    </row>
    <row r="154" ht="14.25">
      <c r="E154" s="2"/>
      <c r="F154" s="2"/>
    </row>
    <row r="155" ht="14.25">
      <c r="E155" s="2"/>
      <c r="F155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1" zoomScale="100" workbookViewId="0">
      <selection activeCell="A1" activeCellId="0" sqref="A1"/>
    </sheetView>
  </sheetViews>
  <sheetFormatPr defaultRowHeight="14.25"/>
  <cols>
    <col customWidth="1" min="3" max="3" width="51.57421875"/>
  </cols>
  <sheetData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5</cp:revision>
  <dcterms:modified xsi:type="dcterms:W3CDTF">2026-03-14T08:41:53Z</dcterms:modified>
</cp:coreProperties>
</file>
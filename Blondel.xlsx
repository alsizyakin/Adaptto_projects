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harts/chart4.xml" ContentType="application/vnd.openxmlformats-officedocument.drawingml.chart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charts/style3.xml" ContentType="application/vnd.ms-office.chartstyle+xml"/>
  <Override PartName="/xl/charts/chart3.xml" ContentType="application/vnd.openxmlformats-officedocument.drawingml.chart+xml"/>
  <Override PartName="/docProps/core.xml" ContentType="application/vnd.openxmlformats-package.core-properties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<sst xmlns="http://schemas.openxmlformats.org/spreadsheetml/2006/main" count="38" uniqueCount="38">
  <si>
    <t>Eлм</t>
  </si>
  <si>
    <t>Eфrms</t>
  </si>
  <si>
    <t>Eлrms</t>
  </si>
  <si>
    <t>Eфм</t>
  </si>
  <si>
    <t>f</t>
  </si>
  <si>
    <t>n</t>
  </si>
  <si>
    <t>p</t>
  </si>
  <si>
    <t>psi</t>
  </si>
  <si>
    <t>startd</t>
  </si>
  <si>
    <t>endd</t>
  </si>
  <si>
    <t>startq</t>
  </si>
  <si>
    <t>endq</t>
  </si>
  <si>
    <t>Ψ</t>
  </si>
  <si>
    <t>R</t>
  </si>
  <si>
    <t>I</t>
  </si>
  <si>
    <t>Ld</t>
  </si>
  <si>
    <t>E</t>
  </si>
  <si>
    <t>Lq</t>
  </si>
  <si>
    <t>IdR</t>
  </si>
  <si>
    <t>IqR</t>
  </si>
  <si>
    <t>Id</t>
  </si>
  <si>
    <t>IdXd</t>
  </si>
  <si>
    <t>Iq</t>
  </si>
  <si>
    <t>IqXq</t>
  </si>
  <si>
    <t>U</t>
  </si>
  <si>
    <t>ω</t>
  </si>
  <si>
    <t>IRd</t>
  </si>
  <si>
    <t>IRq</t>
  </si>
  <si>
    <t>M</t>
  </si>
  <si>
    <t>Idm</t>
  </si>
  <si>
    <t>Is</t>
  </si>
  <si>
    <t>Id%</t>
  </si>
  <si>
    <t>IdXd_d</t>
  </si>
  <si>
    <t>IdXd_q</t>
  </si>
  <si>
    <t>IqXq_d</t>
  </si>
  <si>
    <t>IqXq_q</t>
  </si>
  <si>
    <t>Um</t>
  </si>
  <si>
    <t>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</si>
</sst>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theme="1"/>
      <name val="Asana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0" fillId="2" borderId="0" numFmtId="0" xfId="0" applyFill="1"/>
    <xf fontId="1" fillId="0" borderId="0" numFmtId="0" xfId="0" applyFont="1"/>
    <xf fontId="0" fillId="0" borderId="0" numFmtId="11" xfId="0" applyNumberFormat="1"/>
    <xf fontId="0" fillId="0" borderId="0" numFmtId="2" xfId="0" applyNumberFormat="1"/>
    <xf fontId="0" fillId="0" borderId="0" numFmtId="0" xfId="0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ru-RU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77250"/>
          <c:y val="0.051910"/>
          <c:w val="0.828810"/>
          <c:h val="0.754860"/>
        </c:manualLayout>
      </c:layout>
      <c:scatterChart>
        <c:scatterStyle val="lineMarker"/>
        <c:varyColors val="0"/>
        <c:ser>
          <c:idx val="0"/>
          <c:order val="0"/>
          <c:tx>
            <c:v>E</c:v>
          </c:tx>
          <c:spPr bwMode="auto">
            <a:prstGeom prst="rect">
              <a:avLst/>
            </a:prstGeom>
            <a:solidFill>
              <a:schemeClr val="accent1"/>
            </a:solidFill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'Лист1'!$E$8:$F$8</c:f>
            </c:numRef>
          </c:xVal>
          <c:yVal>
            <c:numRef>
              <c:f>'Лист1'!$G$8:$H$8</c:f>
            </c:numRef>
          </c:yVal>
          <c:smooth val="0"/>
        </c:ser>
        <c:ser>
          <c:idx val="1"/>
          <c:order val="1"/>
          <c:tx>
            <c:v>IdR</c:v>
          </c:tx>
          <c:spPr bwMode="auto">
            <a:prstGeom prst="rect">
              <a:avLst/>
            </a:prstGeom>
            <a:solidFill>
              <a:schemeClr val="accent2"/>
            </a:solidFill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'Лист1'!$E$9:$F$9</c:f>
            </c:numRef>
          </c:xVal>
          <c:yVal>
            <c:numRef>
              <c:f>'Лист1'!$G$9:$H$9</c:f>
            </c:numRef>
          </c:yVal>
          <c:smooth val="0"/>
        </c:ser>
        <c:ser>
          <c:idx val="2"/>
          <c:order val="2"/>
          <c:tx>
            <c:v>IqXq</c:v>
          </c:tx>
          <c:spPr bwMode="auto">
            <a:prstGeom prst="rect">
              <a:avLst/>
            </a:prstGeom>
            <a:solidFill>
              <a:schemeClr val="accent3"/>
            </a:solidFill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3"/>
              </a:solidFill>
              <a:ln w="9525">
                <a:solidFill>
                  <a:schemeClr val="accent3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'Лист1'!$E$12:$F$12</c:f>
            </c:numRef>
          </c:xVal>
          <c:yVal>
            <c:numRef>
              <c:f>'Лист1'!$G$12:$H$12</c:f>
            </c:numRef>
          </c:yVal>
          <c:smooth val="0"/>
        </c:ser>
        <c:ser>
          <c:idx val="3"/>
          <c:order val="3"/>
          <c:tx>
            <c:v>U</c:v>
          </c:tx>
          <c:spPr bwMode="auto">
            <a:prstGeom prst="rect">
              <a:avLst/>
            </a:prstGeom>
            <a:solidFill>
              <a:schemeClr val="accent4"/>
            </a:solidFill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4"/>
              </a:solidFill>
              <a:ln w="9525">
                <a:solidFill>
                  <a:schemeClr val="accent4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'Лист1'!$E$13:$F$13</c:f>
            </c:numRef>
          </c:xVal>
          <c:yVal>
            <c:numRef>
              <c:f>'Лист1'!$G$13:$H$13</c:f>
            </c:numRef>
          </c:yVal>
          <c:smooth val="0"/>
        </c:ser>
        <c:ser>
          <c:idx val="4"/>
          <c:order val="4"/>
          <c:tx>
            <c:v>I</c:v>
          </c:tx>
          <c:spPr bwMode="auto">
            <a:prstGeom prst="rect">
              <a:avLst/>
            </a:prstGeom>
            <a:solidFill>
              <a:schemeClr val="accent5"/>
            </a:solidFill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5"/>
              </a:solidFill>
              <a:ln w="9525">
                <a:solidFill>
                  <a:schemeClr val="accent5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'Лист1'!$E$7:$F$7</c:f>
            </c:numRef>
          </c:xVal>
          <c:yVal>
            <c:numRef>
              <c:f>'Лист1'!$G$7:$H$7</c:f>
            </c:numRef>
          </c:yVal>
          <c:smooth val="0"/>
        </c:ser>
        <c:ser>
          <c:idx val="5"/>
          <c:order val="5"/>
          <c:tx>
            <c:v>Ф</c:v>
          </c:tx>
          <c:spPr bwMode="auto">
            <a:prstGeom prst="rect">
              <a:avLst/>
            </a:prstGeom>
            <a:solidFill>
              <a:schemeClr val="accent6"/>
            </a:solidFill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6"/>
              </a:solidFill>
              <a:ln w="9525">
                <a:solidFill>
                  <a:schemeClr val="accent6"/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'Лист1'!$G$6:$H$6</c:f>
            </c:numRef>
          </c:xVal>
          <c:yVal>
            <c:numRef>
              <c:f>'Лист1'!$E$6:$F$6</c:f>
            </c:numRef>
          </c:yVal>
          <c:smooth val="0"/>
        </c:ser>
        <c:ser>
          <c:idx val="6"/>
          <c:order val="6"/>
          <c:tx>
            <c:v>IqR</c:v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 w="19050" cap="rnd">
              <a:solidFill>
                <a:schemeClr val="accent1">
                  <a:lumMod val="60000"/>
                </a:schemeClr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'Лист1'!$E$10:$F$10</c:f>
            </c:numRef>
          </c:xVal>
          <c:yVal>
            <c:numRef>
              <c:f>'Лист1'!$G$10:$H$10</c:f>
            </c:numRef>
          </c:yVal>
          <c:smooth val="0"/>
        </c:ser>
        <c:ser>
          <c:idx val="7"/>
          <c:order val="7"/>
          <c:tx>
            <c:v>IdXd</c:v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 w="19050" cap="rnd">
              <a:solidFill>
                <a:schemeClr val="accent2">
                  <a:lumMod val="60000"/>
                </a:schemeClr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</c:spPr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'Лист1'!$E$11:$F$11</c:f>
            </c:numRef>
          </c:xVal>
          <c:yVal>
            <c:numRef>
              <c:f>'Лист1'!$G$11:$H$11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axId val="630600171"/>
        <c:axId val="630600172"/>
      </c:scatterChart>
      <c:valAx>
        <c:axId val="63060017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0600172"/>
        <c:crosses val="autoZero"/>
        <c:crossBetween val="midCat"/>
      </c:valAx>
      <c:valAx>
        <c:axId val="63060017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/>
          <a:lstStyle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0600171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8667748" y="1181098"/>
      <a:ext cx="3469003" cy="2905123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U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'Лист1'!$J$59</c:f>
              <c:strCache>
                <c:ptCount val="1"/>
                <c:pt idx="0">
                  <c:v>Um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'Лист1'!$B$60:$B$260</c:f>
            </c:numRef>
          </c:xVal>
          <c:yVal>
            <c:numRef>
              <c:f>'Лист1'!$J$60:$J$260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73"/>
        <c:axId val="664969074"/>
      </c:scatterChart>
      <c:valAx>
        <c:axId val="66496907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74"/>
        <c:crosses val="autoZero"/>
        <c:crossBetween val="between"/>
      </c:valAx>
      <c:valAx>
        <c:axId val="66496907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7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824037" y="4543424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'Лист1'!$K$59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/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'Лист1'!$B$60:$B$260</c:f>
            </c:numRef>
          </c:xVal>
          <c:yVal>
            <c:numRef>
              <c:f>'Лист1'!$K$60:$K$260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79"/>
        <c:axId val="664969080"/>
      </c:scatterChart>
      <c:valAx>
        <c:axId val="664969079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0"/>
        <c:crosses val="autoZero"/>
        <c:crossBetween val="between"/>
      </c:valAx>
      <c:valAx>
        <c:axId val="6649690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7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705599" y="45434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U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'Лист1'!$J$59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/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'Лист1'!$N$60:$N$260</c:f>
            </c:numRef>
          </c:xVal>
          <c:yVal>
            <c:numRef>
              <c:f>'Лист1'!$X$60:$X$260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83"/>
        <c:axId val="664969084"/>
      </c:scatterChart>
      <c:valAx>
        <c:axId val="66496908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4"/>
        <c:crosses val="autoZero"/>
        <c:crossBetween val="between"/>
      </c:valAx>
      <c:valAx>
        <c:axId val="66496908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828799" y="74390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tx>
            <c:strRef>
              <c:f>'Лист1'!$K$59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/>
            </c:spPr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'Лист1'!$N$60:$N$260</c:f>
            </c:numRef>
          </c:xVal>
          <c:yVal>
            <c:numRef>
              <c:f>'Лист1'!$Y$60:$Y$260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87"/>
        <c:axId val="664969088"/>
      </c:scatterChart>
      <c:valAx>
        <c:axId val="664969087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8"/>
        <c:crosses val="autoZero"/>
        <c:crossBetween val="between"/>
      </c:valAx>
      <c:valAx>
        <c:axId val="66496908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08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705599" y="7439024"/>
      <a:ext cx="4781547" cy="272414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133348</xdr:colOff>
      <xdr:row>6</xdr:row>
      <xdr:rowOff>85723</xdr:rowOff>
    </xdr:from>
    <xdr:to>
      <xdr:col>19</xdr:col>
      <xdr:colOff>211452</xdr:colOff>
      <xdr:row>22</xdr:row>
      <xdr:rowOff>85721</xdr:rowOff>
    </xdr:to>
    <xdr:graphicFrame>
      <xdr:nvGraphicFramePr>
        <xdr:cNvPr id="2102626635" name=""/>
        <xdr:cNvGraphicFramePr>
          <a:graphicFrameLocks xmlns:a="http://schemas.openxmlformats.org/drawingml/2006/main"/>
        </xdr:cNvGraphicFramePr>
      </xdr:nvGraphicFramePr>
      <xdr:xfrm rot="0">
        <a:off x="8667748" y="1181098"/>
        <a:ext cx="3469003" cy="2905123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2</xdr:col>
      <xdr:colOff>604837</xdr:colOff>
      <xdr:row>24</xdr:row>
      <xdr:rowOff>180974</xdr:rowOff>
    </xdr:from>
    <xdr:to>
      <xdr:col>10</xdr:col>
      <xdr:colOff>280987</xdr:colOff>
      <xdr:row>40</xdr:row>
      <xdr:rowOff>9524</xdr:rowOff>
    </xdr:to>
    <xdr:graphicFrame>
      <xdr:nvGraphicFramePr>
        <xdr:cNvPr id="1545508772" name=""/>
        <xdr:cNvGraphicFramePr>
          <a:graphicFrameLocks xmlns:a="http://schemas.openxmlformats.org/drawingml/2006/main"/>
        </xdr:cNvGraphicFramePr>
      </xdr:nvGraphicFramePr>
      <xdr:xfrm rot="0">
        <a:off x="1824037" y="4543424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10</xdr:col>
      <xdr:colOff>609599</xdr:colOff>
      <xdr:row>24</xdr:row>
      <xdr:rowOff>180974</xdr:rowOff>
    </xdr:from>
    <xdr:to>
      <xdr:col>18</xdr:col>
      <xdr:colOff>285748</xdr:colOff>
      <xdr:row>40</xdr:row>
      <xdr:rowOff>9523</xdr:rowOff>
    </xdr:to>
    <xdr:graphicFrame>
      <xdr:nvGraphicFramePr>
        <xdr:cNvPr id="100684104" name=""/>
        <xdr:cNvGraphicFramePr>
          <a:graphicFrameLocks xmlns:a="http://schemas.openxmlformats.org/drawingml/2006/main"/>
        </xdr:cNvGraphicFramePr>
      </xdr:nvGraphicFramePr>
      <xdr:xfrm rot="0">
        <a:off x="6705599" y="4543424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2</xdr:col>
      <xdr:colOff>609599</xdr:colOff>
      <xdr:row>40</xdr:row>
      <xdr:rowOff>180974</xdr:rowOff>
    </xdr:from>
    <xdr:to>
      <xdr:col>10</xdr:col>
      <xdr:colOff>285748</xdr:colOff>
      <xdr:row>56</xdr:row>
      <xdr:rowOff>9523</xdr:rowOff>
    </xdr:to>
    <xdr:graphicFrame>
      <xdr:nvGraphicFramePr>
        <xdr:cNvPr id="247355617" name=""/>
        <xdr:cNvGraphicFramePr>
          <a:graphicFrameLocks xmlns:a="http://schemas.openxmlformats.org/drawingml/2006/main"/>
        </xdr:cNvGraphicFramePr>
      </xdr:nvGraphicFramePr>
      <xdr:xfrm rot="0">
        <a:off x="1828799" y="7439024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10</xdr:col>
      <xdr:colOff>609599</xdr:colOff>
      <xdr:row>40</xdr:row>
      <xdr:rowOff>180974</xdr:rowOff>
    </xdr:from>
    <xdr:to>
      <xdr:col>18</xdr:col>
      <xdr:colOff>285747</xdr:colOff>
      <xdr:row>56</xdr:row>
      <xdr:rowOff>9521</xdr:rowOff>
    </xdr:to>
    <xdr:graphicFrame>
      <xdr:nvGraphicFramePr>
        <xdr:cNvPr id="2054016054" name=""/>
        <xdr:cNvGraphicFramePr>
          <a:graphicFrameLocks xmlns:a="http://schemas.openxmlformats.org/drawingml/2006/main"/>
        </xdr:cNvGraphicFramePr>
      </xdr:nvGraphicFramePr>
      <xdr:xfrm rot="0">
        <a:off x="6705599" y="7439024"/>
        <a:ext cx="4781547" cy="272414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5" max="16" width="10.8515625"/>
    <col bestFit="1" min="19" max="20" width="10.8515625"/>
    <col bestFit="1" min="25" max="25" width="9.8515625"/>
  </cols>
  <sheetData>
    <row r="1" ht="14.25">
      <c r="A1" t="s">
        <v>0</v>
      </c>
      <c r="B1">
        <v>1.28</v>
      </c>
      <c r="D1" t="s">
        <v>1</v>
      </c>
      <c r="E1">
        <v>100</v>
      </c>
      <c r="G1" t="s">
        <v>2</v>
      </c>
      <c r="H1">
        <v>124</v>
      </c>
      <c r="J1" t="s">
        <v>3</v>
      </c>
      <c r="K1">
        <v>141</v>
      </c>
    </row>
    <row r="2" ht="14.25">
      <c r="A2" t="s">
        <v>4</v>
      </c>
      <c r="B2">
        <v>19.23</v>
      </c>
      <c r="D2" t="s">
        <v>5</v>
      </c>
      <c r="E2">
        <v>3000</v>
      </c>
      <c r="G2" t="s">
        <v>5</v>
      </c>
      <c r="H2">
        <v>1000</v>
      </c>
      <c r="J2" t="s">
        <v>5</v>
      </c>
      <c r="K2">
        <v>3000</v>
      </c>
    </row>
    <row r="3" ht="14.25">
      <c r="D3" t="s">
        <v>6</v>
      </c>
      <c r="E3">
        <v>1</v>
      </c>
      <c r="G3" t="s">
        <v>6</v>
      </c>
      <c r="H3">
        <v>13</v>
      </c>
      <c r="J3" t="s">
        <v>6</v>
      </c>
      <c r="K3">
        <v>1</v>
      </c>
    </row>
    <row r="4" ht="15">
      <c r="A4" t="s">
        <v>7</v>
      </c>
      <c r="B4">
        <f>B1/SQRT(3)/B2/2/PI()</f>
        <v>0.0061163198660070545</v>
      </c>
      <c r="D4" t="s">
        <v>7</v>
      </c>
      <c r="E4">
        <f>E1*SQRT(2)/E2*60/2/PI()/E3</f>
        <v>0.45015815807855303</v>
      </c>
      <c r="G4" t="s">
        <v>7</v>
      </c>
      <c r="H4">
        <f>H1/SQRT(3)*SQRT(2)/H2*60/2/PI()/H3</f>
        <v>0.07437107950228912</v>
      </c>
      <c r="J4" t="s">
        <v>7</v>
      </c>
      <c r="K4">
        <f>K1/K2*60/2/PI()/K3</f>
        <v>0.44881693951914486</v>
      </c>
    </row>
    <row r="5" s="1" customFormat="1" ht="14.25">
      <c r="E5" s="1" t="s">
        <v>8</v>
      </c>
      <c r="F5" s="1" t="s">
        <v>9</v>
      </c>
      <c r="G5" s="1" t="s">
        <v>10</v>
      </c>
      <c r="H5" s="1" t="s">
        <v>11</v>
      </c>
    </row>
    <row r="6" ht="15">
      <c r="A6" s="2" t="s">
        <v>12</v>
      </c>
      <c r="B6">
        <v>0.0060000000000000001</v>
      </c>
      <c r="D6" s="2" t="s">
        <v>12</v>
      </c>
      <c r="E6">
        <v>0</v>
      </c>
      <c r="F6">
        <v>0</v>
      </c>
      <c r="G6">
        <v>4.5</v>
      </c>
      <c r="H6">
        <v>0</v>
      </c>
    </row>
    <row r="7" ht="14.25">
      <c r="A7" t="s">
        <v>13</v>
      </c>
      <c r="B7" s="3">
        <v>0.052999999999999999</v>
      </c>
      <c r="D7" t="s">
        <v>14</v>
      </c>
      <c r="E7">
        <v>0</v>
      </c>
      <c r="F7">
        <f>B11</f>
        <v>20</v>
      </c>
      <c r="G7">
        <v>0</v>
      </c>
      <c r="H7">
        <f>B12</f>
        <v>3</v>
      </c>
    </row>
    <row r="8" ht="14.25">
      <c r="A8" t="s">
        <v>15</v>
      </c>
      <c r="B8" s="3">
        <v>0.00020000000000000001</v>
      </c>
      <c r="D8" t="s">
        <v>16</v>
      </c>
      <c r="E8">
        <v>0</v>
      </c>
      <c r="F8">
        <f>0</f>
        <v>0</v>
      </c>
      <c r="G8">
        <v>0</v>
      </c>
      <c r="H8">
        <f>B15</f>
        <v>1.2553804243744813</v>
      </c>
    </row>
    <row r="9" ht="14.25">
      <c r="A9" t="s">
        <v>17</v>
      </c>
      <c r="B9" s="3">
        <v>0.00020000000000000001</v>
      </c>
      <c r="D9" t="s">
        <v>18</v>
      </c>
      <c r="E9">
        <f t="shared" ref="E9:E10" si="0">F8</f>
        <v>0</v>
      </c>
      <c r="F9">
        <f>E9+B16</f>
        <v>1.0600000000000001</v>
      </c>
      <c r="G9">
        <f t="shared" ref="G9:G10" si="1">H8</f>
        <v>1.2553804243744813</v>
      </c>
      <c r="H9">
        <f>G9</f>
        <v>1.2553804243744813</v>
      </c>
    </row>
    <row r="10" ht="14.25">
      <c r="D10" t="s">
        <v>19</v>
      </c>
      <c r="E10">
        <f t="shared" si="0"/>
        <v>1.0600000000000001</v>
      </c>
      <c r="F10">
        <f t="shared" ref="F10:F11" si="2">E10</f>
        <v>1.0600000000000001</v>
      </c>
      <c r="G10">
        <f t="shared" si="1"/>
        <v>1.2553804243744813</v>
      </c>
      <c r="H10">
        <f t="shared" ref="H10:H11" si="3">G10+B17</f>
        <v>1.4143804243744813</v>
      </c>
    </row>
    <row r="11" ht="14.25">
      <c r="A11" t="s">
        <v>20</v>
      </c>
      <c r="B11">
        <v>20</v>
      </c>
      <c r="D11" t="s">
        <v>21</v>
      </c>
      <c r="E11">
        <f t="shared" ref="E11:E12" si="4">F10</f>
        <v>1.0600000000000001</v>
      </c>
      <c r="F11">
        <f t="shared" si="2"/>
        <v>1.0600000000000001</v>
      </c>
      <c r="G11">
        <f t="shared" ref="G11:G12" si="5">H10</f>
        <v>1.4143804243744813</v>
      </c>
      <c r="H11">
        <f t="shared" si="3"/>
        <v>2.251300707290802</v>
      </c>
      <c r="L11">
        <v>0.027567000000000001</v>
      </c>
    </row>
    <row r="12" ht="14.25">
      <c r="A12" t="s">
        <v>22</v>
      </c>
      <c r="B12" s="4">
        <v>3</v>
      </c>
      <c r="D12" t="s">
        <v>23</v>
      </c>
      <c r="E12">
        <f t="shared" si="4"/>
        <v>1.0600000000000001</v>
      </c>
      <c r="F12">
        <f>E12-B19</f>
        <v>0.9344619575625519</v>
      </c>
      <c r="G12">
        <f t="shared" si="5"/>
        <v>2.251300707290802</v>
      </c>
      <c r="H12">
        <f>G12</f>
        <v>2.251300707290802</v>
      </c>
    </row>
    <row r="13" ht="14.25">
      <c r="A13" t="s">
        <v>6</v>
      </c>
      <c r="B13">
        <v>1</v>
      </c>
      <c r="D13" t="s">
        <v>24</v>
      </c>
      <c r="E13">
        <v>0</v>
      </c>
      <c r="F13">
        <f>F12</f>
        <v>0.9344619575625519</v>
      </c>
      <c r="G13">
        <v>0</v>
      </c>
      <c r="H13">
        <f>H12</f>
        <v>2.251300707290802</v>
      </c>
    </row>
    <row r="14" ht="15">
      <c r="A14" s="2" t="s">
        <v>25</v>
      </c>
      <c r="B14">
        <f>33.3*2*PI()</f>
        <v>209.23007072908021</v>
      </c>
      <c r="L14">
        <v>0.0059249999999999997</v>
      </c>
    </row>
    <row r="15" ht="14.25">
      <c r="A15" t="s">
        <v>16</v>
      </c>
      <c r="B15">
        <f>B14*B6</f>
        <v>1.2553804243744813</v>
      </c>
    </row>
    <row r="16" ht="14.25">
      <c r="A16" t="s">
        <v>26</v>
      </c>
      <c r="B16">
        <f>B11*B7</f>
        <v>1.0600000000000001</v>
      </c>
    </row>
    <row r="17" ht="14.25">
      <c r="A17" t="s">
        <v>27</v>
      </c>
      <c r="B17">
        <f>B12*B7</f>
        <v>0.159</v>
      </c>
    </row>
    <row r="18" ht="14.25">
      <c r="A18" t="s">
        <v>21</v>
      </c>
      <c r="B18">
        <f>B11*B8*B14</f>
        <v>0.83692028291632081</v>
      </c>
    </row>
    <row r="19" ht="14.25">
      <c r="A19" t="s">
        <v>23</v>
      </c>
      <c r="B19">
        <f>B12*B9*B14</f>
        <v>0.12553804243744815</v>
      </c>
    </row>
    <row r="20" ht="14.25">
      <c r="A20" t="s">
        <v>24</v>
      </c>
      <c r="B20">
        <f>SQRT(F12*F12+H12*H12)</f>
        <v>2.4375344150964726</v>
      </c>
    </row>
    <row r="21" ht="14.25">
      <c r="A21" t="s">
        <v>28</v>
      </c>
      <c r="B21">
        <f>1.5*B13*(B12*B6+B11*B12*(B8-B9))</f>
        <v>0.027000000000000003</v>
      </c>
    </row>
    <row r="25" s="1" customFormat="1" ht="14.25"/>
    <row r="26" ht="14.25">
      <c r="A26" t="s">
        <v>22</v>
      </c>
      <c r="B26">
        <v>20</v>
      </c>
    </row>
    <row r="27" ht="14.25">
      <c r="A27" t="s">
        <v>29</v>
      </c>
      <c r="B27">
        <v>30</v>
      </c>
    </row>
    <row r="31" ht="14.25">
      <c r="A31" t="s">
        <v>30</v>
      </c>
      <c r="B31">
        <v>141</v>
      </c>
    </row>
    <row r="48" ht="14.25">
      <c r="Y48">
        <f>MAX(Y60:Y260)</f>
        <v>1.2689999999999999</v>
      </c>
    </row>
    <row r="59" ht="14.25">
      <c r="A59" t="s">
        <v>31</v>
      </c>
      <c r="B59" t="s">
        <v>20</v>
      </c>
      <c r="C59" t="s">
        <v>16</v>
      </c>
      <c r="D59" t="s">
        <v>19</v>
      </c>
      <c r="E59" t="s">
        <v>18</v>
      </c>
      <c r="F59" t="s">
        <v>32</v>
      </c>
      <c r="G59" t="s">
        <v>33</v>
      </c>
      <c r="H59" t="s">
        <v>34</v>
      </c>
      <c r="I59" t="s">
        <v>35</v>
      </c>
      <c r="J59" t="s">
        <v>36</v>
      </c>
      <c r="K59" t="s">
        <v>28</v>
      </c>
      <c r="N59" s="5" t="s">
        <v>37</v>
      </c>
      <c r="O59" s="5" t="s">
        <v>22</v>
      </c>
      <c r="P59" t="s">
        <v>20</v>
      </c>
      <c r="Q59" t="s">
        <v>16</v>
      </c>
      <c r="R59" t="s">
        <v>19</v>
      </c>
      <c r="S59" t="s">
        <v>18</v>
      </c>
      <c r="T59" t="s">
        <v>32</v>
      </c>
      <c r="U59" t="s">
        <v>33</v>
      </c>
      <c r="V59" t="s">
        <v>34</v>
      </c>
      <c r="W59" t="s">
        <v>35</v>
      </c>
      <c r="X59" t="s">
        <v>36</v>
      </c>
      <c r="Y59" t="s">
        <v>28</v>
      </c>
    </row>
    <row r="60" ht="14.25">
      <c r="A60">
        <v>100</v>
      </c>
      <c r="B60">
        <f t="shared" ref="B60:B99" si="6">$B$27*A60/100</f>
        <v>30</v>
      </c>
      <c r="C60">
        <f>$H$8</f>
        <v>1.2553804243744813</v>
      </c>
      <c r="D60">
        <f>$C$60+$B$26*$B$7</f>
        <v>2.3153804243744815</v>
      </c>
      <c r="E60">
        <f t="shared" ref="E60:E99" si="7">B60*$B$7</f>
        <v>1.5899999999999999</v>
      </c>
      <c r="F60">
        <f t="shared" ref="F60:F99" si="8">E60</f>
        <v>1.5899999999999999</v>
      </c>
      <c r="G60">
        <f t="shared" ref="G60:G99" si="9">$D$60+B60*$B$8*$B$14</f>
        <v>3.5707608487489626</v>
      </c>
      <c r="H60">
        <f t="shared" ref="H60:H99" si="10">G60</f>
        <v>3.5707608487489626</v>
      </c>
      <c r="I60">
        <f t="shared" ref="I60:I99" si="11">E60-$B$26*$B$14*$B$9</f>
        <v>0.75307971708367893</v>
      </c>
      <c r="J60">
        <f t="shared" ref="J60:J99" si="12">SQRT(I60*I60+H60*H60)</f>
        <v>3.6493098113535449</v>
      </c>
      <c r="K60">
        <f t="shared" ref="K60:K99" si="13">1.5*$B$13*($B$26*$B$6+$B$26*B60*($B$8-$B$9))</f>
        <v>0.17999999999999999</v>
      </c>
      <c r="N60">
        <f t="shared" ref="N60:N99" si="14">180*A60/100</f>
        <v>180</v>
      </c>
      <c r="O60">
        <f t="shared" ref="O60:O99" si="15">$B$31*SIN(N60/180*PI())</f>
        <v>1.7267519867977681e-14</v>
      </c>
      <c r="P60" s="6">
        <f t="shared" ref="P60:P99" si="16">$B$31*COS(N60/180*PI())</f>
        <v>-141</v>
      </c>
      <c r="Q60" s="6">
        <f>$H$8</f>
        <v>1.2553804243744813</v>
      </c>
      <c r="R60" s="6">
        <f t="shared" ref="R60:R99" si="17">$Q$60+O60*$B$7</f>
        <v>1.2553804243744822</v>
      </c>
      <c r="S60" s="6">
        <f t="shared" ref="S60:S99" si="18">P60*$B$7</f>
        <v>-7.4729999999999999</v>
      </c>
      <c r="T60" s="6">
        <f t="shared" ref="T60:T99" si="19">S60</f>
        <v>-7.4729999999999999</v>
      </c>
      <c r="U60" s="6">
        <f t="shared" ref="U60:U99" si="20">R60+P60*$B$8*$B$14</f>
        <v>-4.6449075701855804</v>
      </c>
      <c r="V60" s="6">
        <f t="shared" ref="V60:V99" si="21">U60</f>
        <v>-4.6449075701855804</v>
      </c>
      <c r="W60" s="6">
        <f t="shared" ref="W60:W99" si="22">S60-O60*$B$14*$B$9</f>
        <v>-7.4730000000000008</v>
      </c>
      <c r="X60" s="6">
        <f t="shared" ref="X60:X99" si="23">SQRT(W60*W60+V60*V60)</f>
        <v>8.7989144407459339</v>
      </c>
      <c r="Y60" s="6">
        <f t="shared" ref="Y60:Y99" si="24">1.5*$B$13*(O60*$B$6+O60*P60*($B$8-$B$9))</f>
        <v>1.5540767881179914e-16</v>
      </c>
    </row>
    <row r="61" ht="14.25">
      <c r="A61">
        <v>99</v>
      </c>
      <c r="B61">
        <f t="shared" si="6"/>
        <v>29.699999999999999</v>
      </c>
      <c r="E61">
        <f t="shared" si="7"/>
        <v>1.5740999999999998</v>
      </c>
      <c r="F61">
        <f t="shared" si="8"/>
        <v>1.5740999999999998</v>
      </c>
      <c r="G61">
        <f t="shared" si="9"/>
        <v>3.5582070445052181</v>
      </c>
      <c r="H61">
        <f t="shared" si="10"/>
        <v>3.5582070445052181</v>
      </c>
      <c r="I61">
        <f t="shared" si="11"/>
        <v>0.73717971708367891</v>
      </c>
      <c r="J61">
        <f t="shared" si="12"/>
        <v>3.6337681966308932</v>
      </c>
      <c r="K61" s="5">
        <f t="shared" si="13"/>
        <v>0.17999999999999999</v>
      </c>
      <c r="N61" s="5">
        <f t="shared" si="14"/>
        <v>178.19999999999999</v>
      </c>
      <c r="O61" s="5">
        <f t="shared" si="15"/>
        <v>4.4289170300160814</v>
      </c>
      <c r="P61" s="6">
        <f t="shared" si="16"/>
        <v>-140.93042501156816</v>
      </c>
      <c r="Q61" s="6"/>
      <c r="R61" s="6">
        <f t="shared" si="17"/>
        <v>1.4901130269653335</v>
      </c>
      <c r="S61" s="6">
        <f t="shared" si="18"/>
        <v>-7.4693125256131125</v>
      </c>
      <c r="T61" s="6">
        <f t="shared" si="19"/>
        <v>-7.4693125256131125</v>
      </c>
      <c r="U61" s="6">
        <f t="shared" si="20"/>
        <v>-4.4072635316446149</v>
      </c>
      <c r="V61" s="6">
        <f t="shared" si="21"/>
        <v>-4.4072635316446149</v>
      </c>
      <c r="W61" s="6">
        <f t="shared" si="22"/>
        <v>-7.6546450503018111</v>
      </c>
      <c r="X61" s="6">
        <f t="shared" si="23"/>
        <v>8.8327551015226611</v>
      </c>
      <c r="Y61" s="6">
        <f t="shared" si="24"/>
        <v>0.039860253270144731</v>
      </c>
    </row>
    <row r="62" ht="14.25">
      <c r="A62">
        <v>98</v>
      </c>
      <c r="B62">
        <f t="shared" si="6"/>
        <v>29.399999999999999</v>
      </c>
      <c r="E62">
        <f t="shared" si="7"/>
        <v>1.5581999999999998</v>
      </c>
      <c r="F62">
        <f t="shared" si="8"/>
        <v>1.5581999999999998</v>
      </c>
      <c r="G62">
        <f t="shared" si="9"/>
        <v>3.5456532402614731</v>
      </c>
      <c r="H62">
        <f t="shared" si="10"/>
        <v>3.5456532402614731</v>
      </c>
      <c r="I62">
        <f t="shared" si="11"/>
        <v>0.72127971708367888</v>
      </c>
      <c r="J62">
        <f t="shared" si="12"/>
        <v>3.6182732525961878</v>
      </c>
      <c r="K62" s="5">
        <f t="shared" si="13"/>
        <v>0.17999999999999999</v>
      </c>
      <c r="N62" s="5">
        <f t="shared" si="14"/>
        <v>176.40000000000001</v>
      </c>
      <c r="O62" s="5">
        <f t="shared" si="15"/>
        <v>8.8534632536332154</v>
      </c>
      <c r="P62" s="6">
        <f t="shared" si="16"/>
        <v>-140.72176870838629</v>
      </c>
      <c r="Q62" s="6"/>
      <c r="R62" s="6">
        <f t="shared" si="17"/>
        <v>1.7246139768170416</v>
      </c>
      <c r="S62" s="6">
        <f t="shared" si="18"/>
        <v>-7.458253741544473</v>
      </c>
      <c r="T62" s="6">
        <f t="shared" si="19"/>
        <v>-7.458253741544473</v>
      </c>
      <c r="U62" s="6">
        <f t="shared" si="20"/>
        <v>-4.1640311471783438</v>
      </c>
      <c r="V62" s="6">
        <f t="shared" si="21"/>
        <v>-4.1640311471783438</v>
      </c>
      <c r="W62" s="6">
        <f t="shared" si="22"/>
        <v>-7.8287358900954711</v>
      </c>
      <c r="X62" s="6">
        <f t="shared" si="23"/>
        <v>8.8672578078874142</v>
      </c>
      <c r="Y62" s="6">
        <f t="shared" si="24"/>
        <v>0.079681169282698944</v>
      </c>
    </row>
    <row r="63" ht="14.25">
      <c r="A63">
        <v>97</v>
      </c>
      <c r="B63">
        <f t="shared" si="6"/>
        <v>29.100000000000001</v>
      </c>
      <c r="E63">
        <f t="shared" si="7"/>
        <v>1.5423</v>
      </c>
      <c r="F63">
        <f t="shared" si="8"/>
        <v>1.5423</v>
      </c>
      <c r="G63">
        <f t="shared" si="9"/>
        <v>3.5330994360177286</v>
      </c>
      <c r="H63">
        <f t="shared" si="10"/>
        <v>3.5330994360177286</v>
      </c>
      <c r="I63">
        <f t="shared" si="11"/>
        <v>0.70537971708367908</v>
      </c>
      <c r="J63">
        <f t="shared" si="12"/>
        <v>3.6028255814099359</v>
      </c>
      <c r="K63" s="5">
        <f t="shared" si="13"/>
        <v>0.17999999999999999</v>
      </c>
      <c r="N63" s="5">
        <f t="shared" si="14"/>
        <v>174.59999999999999</v>
      </c>
      <c r="O63" s="5">
        <f t="shared" si="15"/>
        <v>13.269272177910524</v>
      </c>
      <c r="P63" s="6">
        <f t="shared" si="16"/>
        <v>-140.37423700903429</v>
      </c>
      <c r="Q63" s="6"/>
      <c r="R63" s="6">
        <f t="shared" si="17"/>
        <v>1.9586518498037391</v>
      </c>
      <c r="S63" s="6">
        <f t="shared" si="18"/>
        <v>-7.4398345614788175</v>
      </c>
      <c r="T63" s="6">
        <f t="shared" si="19"/>
        <v>-7.4398345614788175</v>
      </c>
      <c r="U63" s="6">
        <f t="shared" si="20"/>
        <v>-3.915450457784444</v>
      </c>
      <c r="V63" s="6">
        <f t="shared" si="21"/>
        <v>-3.915450457784444</v>
      </c>
      <c r="W63" s="6">
        <f t="shared" si="22"/>
        <v>-7.9951007127403448</v>
      </c>
      <c r="X63" s="6">
        <f t="shared" si="23"/>
        <v>8.9023810126406957</v>
      </c>
      <c r="Y63" s="6">
        <f t="shared" si="24"/>
        <v>0.11942344960119472</v>
      </c>
    </row>
    <row r="64" ht="14.25">
      <c r="A64">
        <v>96</v>
      </c>
      <c r="B64">
        <f t="shared" si="6"/>
        <v>28.800000000000001</v>
      </c>
      <c r="E64">
        <f t="shared" si="7"/>
        <v>1.5264</v>
      </c>
      <c r="F64">
        <f t="shared" si="8"/>
        <v>1.5264</v>
      </c>
      <c r="G64">
        <f t="shared" si="9"/>
        <v>3.5205456317739836</v>
      </c>
      <c r="H64">
        <f t="shared" si="10"/>
        <v>3.5205456317739836</v>
      </c>
      <c r="I64">
        <f t="shared" si="11"/>
        <v>0.68947971708367906</v>
      </c>
      <c r="J64">
        <f t="shared" si="12"/>
        <v>3.5874257937513727</v>
      </c>
      <c r="K64" s="5">
        <f t="shared" si="13"/>
        <v>0.17999999999999999</v>
      </c>
      <c r="N64" s="5">
        <f t="shared" si="14"/>
        <v>172.80000000000001</v>
      </c>
      <c r="O64" s="5">
        <f t="shared" si="15"/>
        <v>17.671985932566876</v>
      </c>
      <c r="P64" s="6">
        <f t="shared" si="16"/>
        <v>-139.88817288534139</v>
      </c>
      <c r="Q64" s="6"/>
      <c r="R64" s="6">
        <f t="shared" si="17"/>
        <v>2.1919956788005255</v>
      </c>
      <c r="S64" s="6">
        <f t="shared" si="18"/>
        <v>-7.4140731629230938</v>
      </c>
      <c r="T64" s="6">
        <f t="shared" si="19"/>
        <v>-7.4140731629230938</v>
      </c>
      <c r="U64" s="6">
        <f t="shared" si="20"/>
        <v>-3.6617667825918305</v>
      </c>
      <c r="V64" s="6">
        <f t="shared" si="21"/>
        <v>-3.6617667825918305</v>
      </c>
      <c r="W64" s="6">
        <f t="shared" si="22"/>
        <v>-8.1535753362419499</v>
      </c>
      <c r="X64" s="6">
        <f t="shared" si="23"/>
        <v>8.9380829451211721</v>
      </c>
      <c r="Y64" s="6">
        <f t="shared" si="24"/>
        <v>0.15904787339310189</v>
      </c>
    </row>
    <row r="65" ht="14.25">
      <c r="A65">
        <v>95</v>
      </c>
      <c r="B65">
        <f t="shared" si="6"/>
        <v>28.5</v>
      </c>
      <c r="E65">
        <f t="shared" si="7"/>
        <v>1.5105</v>
      </c>
      <c r="F65">
        <f t="shared" si="8"/>
        <v>1.5105</v>
      </c>
      <c r="G65">
        <f t="shared" si="9"/>
        <v>3.5079918275302386</v>
      </c>
      <c r="H65">
        <f t="shared" si="10"/>
        <v>3.5079918275302386</v>
      </c>
      <c r="I65">
        <f t="shared" si="11"/>
        <v>0.67357971708367903</v>
      </c>
      <c r="J65">
        <f t="shared" si="12"/>
        <v>3.5720745089213177</v>
      </c>
      <c r="K65" s="5">
        <f t="shared" si="13"/>
        <v>0.17999999999999999</v>
      </c>
      <c r="N65" s="5">
        <f t="shared" si="14"/>
        <v>171</v>
      </c>
      <c r="O65" s="5">
        <f t="shared" si="15"/>
        <v>22.057259570672567</v>
      </c>
      <c r="P65" s="6">
        <f t="shared" si="16"/>
        <v>-139.26405602391441</v>
      </c>
      <c r="Q65" s="6"/>
      <c r="R65" s="6">
        <f t="shared" si="17"/>
        <v>2.4244151816201276</v>
      </c>
      <c r="S65" s="6">
        <f t="shared" si="18"/>
        <v>-7.380994969267463</v>
      </c>
      <c r="T65" s="6">
        <f t="shared" si="19"/>
        <v>-7.380994969267463</v>
      </c>
      <c r="U65" s="6">
        <f t="shared" si="20"/>
        <v>-3.4032304767603128</v>
      </c>
      <c r="V65" s="6">
        <f t="shared" si="21"/>
        <v>-3.4032304767603128</v>
      </c>
      <c r="W65" s="6">
        <f t="shared" si="22"/>
        <v>-8.3040033652797636</v>
      </c>
      <c r="X65" s="6">
        <f t="shared" si="23"/>
        <v>8.9743216773485361</v>
      </c>
      <c r="Y65" s="6">
        <f t="shared" si="24"/>
        <v>0.19851533613605313</v>
      </c>
    </row>
    <row r="66" ht="14.25">
      <c r="A66">
        <v>94</v>
      </c>
      <c r="B66">
        <f t="shared" si="6"/>
        <v>28.199999999999999</v>
      </c>
      <c r="E66">
        <f t="shared" si="7"/>
        <v>1.4945999999999999</v>
      </c>
      <c r="F66">
        <f t="shared" si="8"/>
        <v>1.4945999999999999</v>
      </c>
      <c r="G66">
        <f t="shared" si="9"/>
        <v>3.4954380232864937</v>
      </c>
      <c r="H66">
        <f t="shared" si="10"/>
        <v>3.4954380232864937</v>
      </c>
      <c r="I66">
        <f t="shared" si="11"/>
        <v>0.65767971708367901</v>
      </c>
      <c r="J66">
        <f t="shared" si="12"/>
        <v>3.5567723549448957</v>
      </c>
      <c r="K66" s="5">
        <f t="shared" si="13"/>
        <v>0.17999999999999999</v>
      </c>
      <c r="N66" s="5">
        <f t="shared" si="14"/>
        <v>169.19999999999999</v>
      </c>
      <c r="O66" s="5">
        <f t="shared" si="15"/>
        <v>26.420765356587228</v>
      </c>
      <c r="P66" s="6">
        <f t="shared" si="16"/>
        <v>-138.5025023527451</v>
      </c>
      <c r="Q66" s="6"/>
      <c r="R66" s="6">
        <f t="shared" si="17"/>
        <v>2.6556809882736045</v>
      </c>
      <c r="S66" s="6">
        <f t="shared" si="18"/>
        <v>-7.3406326246954903</v>
      </c>
      <c r="T66" s="6">
        <f t="shared" si="19"/>
        <v>-7.3406326246954903</v>
      </c>
      <c r="U66" s="6">
        <f t="shared" si="20"/>
        <v>-3.1400966844102864</v>
      </c>
      <c r="V66" s="6">
        <f t="shared" si="21"/>
        <v>-3.1400966844102864</v>
      </c>
      <c r="W66" s="6">
        <f t="shared" si="22"/>
        <v>-8.4462363455505258</v>
      </c>
      <c r="X66" s="6">
        <f t="shared" si="23"/>
        <v>9.011055187509573</v>
      </c>
      <c r="Y66" s="6">
        <f t="shared" si="24"/>
        <v>0.23778688820928506</v>
      </c>
    </row>
    <row r="67" ht="14.25">
      <c r="A67">
        <v>93</v>
      </c>
      <c r="B67">
        <f t="shared" si="6"/>
        <v>27.899999999999999</v>
      </c>
      <c r="E67">
        <f t="shared" si="7"/>
        <v>1.4786999999999999</v>
      </c>
      <c r="F67">
        <f t="shared" si="8"/>
        <v>1.4786999999999999</v>
      </c>
      <c r="G67">
        <f t="shared" si="9"/>
        <v>3.4828842190427491</v>
      </c>
      <c r="H67">
        <f t="shared" si="10"/>
        <v>3.4828842190427491</v>
      </c>
      <c r="I67">
        <f t="shared" si="11"/>
        <v>0.64177971708367898</v>
      </c>
      <c r="J67">
        <f t="shared" si="12"/>
        <v>3.5415199686740477</v>
      </c>
      <c r="K67" s="5">
        <f t="shared" si="13"/>
        <v>0.17999999999999999</v>
      </c>
      <c r="N67" s="5">
        <f t="shared" si="14"/>
        <v>167.40000000000001</v>
      </c>
      <c r="O67" s="5">
        <f t="shared" si="15"/>
        <v>30.758197036912467</v>
      </c>
      <c r="P67" s="6">
        <f t="shared" si="16"/>
        <v>-137.6042634333634</v>
      </c>
      <c r="Q67" s="6"/>
      <c r="R67" s="6">
        <f t="shared" si="17"/>
        <v>2.8855648673308423</v>
      </c>
      <c r="S67" s="6">
        <f t="shared" si="18"/>
        <v>-7.2930259619682598</v>
      </c>
      <c r="T67" s="6">
        <f t="shared" si="19"/>
        <v>-7.2930259619682598</v>
      </c>
      <c r="U67" s="6">
        <f t="shared" si="20"/>
        <v>-2.8726250868262806</v>
      </c>
      <c r="V67" s="6">
        <f t="shared" si="21"/>
        <v>-2.8726250868262806</v>
      </c>
      <c r="W67" s="6">
        <f t="shared" si="22"/>
        <v>-8.5801339102746965</v>
      </c>
      <c r="X67" s="6">
        <f t="shared" si="23"/>
        <v>9.0482414207242208</v>
      </c>
      <c r="Y67" s="6">
        <f t="shared" si="24"/>
        <v>0.2768237733322122</v>
      </c>
    </row>
    <row r="68" ht="14.25">
      <c r="A68">
        <v>92</v>
      </c>
      <c r="B68">
        <f t="shared" si="6"/>
        <v>27.600000000000001</v>
      </c>
      <c r="E68">
        <f t="shared" si="7"/>
        <v>1.4628000000000001</v>
      </c>
      <c r="F68">
        <f t="shared" si="8"/>
        <v>1.4628000000000001</v>
      </c>
      <c r="G68">
        <f t="shared" si="9"/>
        <v>3.4703304147990046</v>
      </c>
      <c r="H68">
        <f t="shared" si="10"/>
        <v>3.4703304147990046</v>
      </c>
      <c r="I68">
        <f t="shared" si="11"/>
        <v>0.62587971708367918</v>
      </c>
      <c r="J68">
        <f t="shared" si="12"/>
        <v>3.5263179958897322</v>
      </c>
      <c r="K68" s="5">
        <f t="shared" si="13"/>
        <v>0.17999999999999999</v>
      </c>
      <c r="N68" s="5">
        <f t="shared" si="14"/>
        <v>165.59999999999999</v>
      </c>
      <c r="O68" s="5">
        <f t="shared" si="15"/>
        <v>35.065274090244586</v>
      </c>
      <c r="P68" s="6">
        <f t="shared" si="16"/>
        <v>-136.57022571913697</v>
      </c>
      <c r="Q68" s="6"/>
      <c r="R68" s="6">
        <f t="shared" si="17"/>
        <v>3.1138399511574439</v>
      </c>
      <c r="S68" s="6">
        <f t="shared" si="18"/>
        <v>-7.2382219631142597</v>
      </c>
      <c r="T68" s="6">
        <f t="shared" si="19"/>
        <v>-7.2382219631142597</v>
      </c>
      <c r="U68" s="6">
        <f t="shared" si="20"/>
        <v>-2.6010796461828525</v>
      </c>
      <c r="V68" s="6">
        <f t="shared" si="21"/>
        <v>-2.6010796461828525</v>
      </c>
      <c r="W68" s="6">
        <f t="shared" si="22"/>
        <v>-8.7055639187215519</v>
      </c>
      <c r="X68" s="6">
        <f t="shared" si="23"/>
        <v>9.085838347050494</v>
      </c>
      <c r="Y68" s="6">
        <f t="shared" si="24"/>
        <v>0.31558746681220129</v>
      </c>
    </row>
    <row r="69" ht="14.25">
      <c r="A69">
        <v>91</v>
      </c>
      <c r="B69">
        <f t="shared" si="6"/>
        <v>27.300000000000001</v>
      </c>
      <c r="E69">
        <f t="shared" si="7"/>
        <v>1.4469000000000001</v>
      </c>
      <c r="F69">
        <f t="shared" si="8"/>
        <v>1.4469000000000001</v>
      </c>
      <c r="G69">
        <f t="shared" si="9"/>
        <v>3.4577766105552596</v>
      </c>
      <c r="H69">
        <f t="shared" si="10"/>
        <v>3.4577766105552596</v>
      </c>
      <c r="I69">
        <f t="shared" si="11"/>
        <v>0.60997971708367915</v>
      </c>
      <c r="J69">
        <f t="shared" si="12"/>
        <v>3.5111670914037263</v>
      </c>
      <c r="K69" s="5">
        <f t="shared" si="13"/>
        <v>0.17999999999999999</v>
      </c>
      <c r="N69" s="5">
        <f t="shared" si="14"/>
        <v>163.80000000000001</v>
      </c>
      <c r="O69" s="5">
        <f t="shared" si="15"/>
        <v>39.337745951531303</v>
      </c>
      <c r="P69" s="6">
        <f t="shared" si="16"/>
        <v>-135.40140968044898</v>
      </c>
      <c r="Q69" s="6"/>
      <c r="R69" s="6">
        <f t="shared" si="17"/>
        <v>3.3402809598056402</v>
      </c>
      <c r="S69" s="6">
        <f t="shared" si="18"/>
        <v>-7.1762747130637958</v>
      </c>
      <c r="T69" s="6">
        <f t="shared" si="19"/>
        <v>-7.1762747130637958</v>
      </c>
      <c r="U69" s="6">
        <f t="shared" si="20"/>
        <v>-2.325728345045861</v>
      </c>
      <c r="V69" s="6">
        <f t="shared" si="21"/>
        <v>-2.325728345045861</v>
      </c>
      <c r="W69" s="6">
        <f t="shared" si="22"/>
        <v>-8.8224025866160929</v>
      </c>
      <c r="X69" s="6">
        <f t="shared" si="23"/>
        <v>9.1238040167070711</v>
      </c>
      <c r="Y69" s="6">
        <f t="shared" si="24"/>
        <v>0.35403971356378172</v>
      </c>
    </row>
    <row r="70" ht="14.25">
      <c r="A70">
        <v>90</v>
      </c>
      <c r="B70">
        <f t="shared" si="6"/>
        <v>27</v>
      </c>
      <c r="E70">
        <f t="shared" si="7"/>
        <v>1.431</v>
      </c>
      <c r="F70">
        <f t="shared" si="8"/>
        <v>1.431</v>
      </c>
      <c r="G70">
        <f t="shared" si="9"/>
        <v>3.4452228063115147</v>
      </c>
      <c r="H70">
        <f t="shared" si="10"/>
        <v>3.4452228063115147</v>
      </c>
      <c r="I70">
        <f t="shared" si="11"/>
        <v>0.59407971708367913</v>
      </c>
      <c r="J70">
        <f t="shared" si="12"/>
        <v>3.4960679191599255</v>
      </c>
      <c r="K70" s="5">
        <f t="shared" si="13"/>
        <v>0.17999999999999999</v>
      </c>
      <c r="N70" s="5">
        <f t="shared" si="14"/>
        <v>162</v>
      </c>
      <c r="O70" s="5">
        <f t="shared" si="15"/>
        <v>43.571396206867597</v>
      </c>
      <c r="P70" s="6">
        <f t="shared" si="16"/>
        <v>-134.09896879761664</v>
      </c>
      <c r="Q70" s="6"/>
      <c r="R70" s="6">
        <f t="shared" si="17"/>
        <v>3.5646644233384635</v>
      </c>
      <c r="S70" s="6">
        <f t="shared" si="18"/>
        <v>-7.1072453462736815</v>
      </c>
      <c r="T70" s="6">
        <f t="shared" si="19"/>
        <v>-7.1072453462736815</v>
      </c>
      <c r="U70" s="6">
        <f t="shared" si="20"/>
        <v>-2.0468429219059461</v>
      </c>
      <c r="V70" s="6">
        <f t="shared" si="21"/>
        <v>-2.0468429219059461</v>
      </c>
      <c r="W70" s="6">
        <f t="shared" si="22"/>
        <v>-8.9305346082992187</v>
      </c>
      <c r="X70" s="6">
        <f t="shared" si="23"/>
        <v>9.1620966125110552</v>
      </c>
      <c r="Y70" s="6">
        <f t="shared" si="24"/>
        <v>0.3921425658618084</v>
      </c>
    </row>
    <row r="71" ht="14.25">
      <c r="A71">
        <v>89</v>
      </c>
      <c r="B71">
        <f t="shared" si="6"/>
        <v>26.699999999999999</v>
      </c>
      <c r="E71">
        <f t="shared" si="7"/>
        <v>1.4151</v>
      </c>
      <c r="F71">
        <f t="shared" si="8"/>
        <v>1.4151</v>
      </c>
      <c r="G71">
        <f t="shared" si="9"/>
        <v>3.4326690020677697</v>
      </c>
      <c r="H71">
        <f t="shared" si="10"/>
        <v>3.4326690020677697</v>
      </c>
      <c r="I71">
        <f t="shared" si="11"/>
        <v>0.5781797170836791</v>
      </c>
      <c r="J71">
        <f t="shared" si="12"/>
        <v>3.4810211523350301</v>
      </c>
      <c r="K71" s="5">
        <f t="shared" si="13"/>
        <v>0.17999999999999999</v>
      </c>
      <c r="N71" s="5">
        <f t="shared" si="14"/>
        <v>160.19999999999999</v>
      </c>
      <c r="O71" s="5">
        <f t="shared" si="15"/>
        <v>47.762046754586137</v>
      </c>
      <c r="P71" s="6">
        <f t="shared" si="16"/>
        <v>-132.66418842254578</v>
      </c>
      <c r="Q71" s="6"/>
      <c r="R71" s="6">
        <f t="shared" si="17"/>
        <v>3.7867689023675464</v>
      </c>
      <c r="S71" s="6">
        <f t="shared" si="18"/>
        <v>-7.031201986394926</v>
      </c>
      <c r="T71" s="6">
        <f t="shared" si="19"/>
        <v>-7.031201986394926</v>
      </c>
      <c r="U71" s="6">
        <f t="shared" si="20"/>
        <v>-1.7646986030055096</v>
      </c>
      <c r="V71" s="6">
        <f t="shared" si="21"/>
        <v>-1.7646986030055096</v>
      </c>
      <c r="W71" s="6">
        <f t="shared" si="22"/>
        <v>-9.0298532705204639</v>
      </c>
      <c r="X71" s="6">
        <f t="shared" si="23"/>
        <v>9.2006744995450589</v>
      </c>
      <c r="Y71" s="6">
        <f t="shared" si="24"/>
        <v>0.42985842079127523</v>
      </c>
    </row>
    <row r="72" ht="14.25">
      <c r="A72">
        <v>88</v>
      </c>
      <c r="B72">
        <f t="shared" si="6"/>
        <v>26.399999999999999</v>
      </c>
      <c r="E72">
        <f t="shared" si="7"/>
        <v>1.3991999999999998</v>
      </c>
      <c r="F72">
        <f t="shared" si="8"/>
        <v>1.3991999999999998</v>
      </c>
      <c r="G72">
        <f t="shared" si="9"/>
        <v>3.4201151978240247</v>
      </c>
      <c r="H72">
        <f t="shared" si="10"/>
        <v>3.4201151978240247</v>
      </c>
      <c r="I72">
        <f t="shared" si="11"/>
        <v>0.56227971708367885</v>
      </c>
      <c r="J72">
        <f t="shared" si="12"/>
        <v>3.4660274734385141</v>
      </c>
      <c r="K72" s="5">
        <f t="shared" si="13"/>
        <v>0.17999999999999999</v>
      </c>
      <c r="N72" s="5">
        <f t="shared" si="14"/>
        <v>158.40000000000001</v>
      </c>
      <c r="O72" s="5">
        <f t="shared" si="15"/>
        <v>51.905561928539619</v>
      </c>
      <c r="P72" s="6">
        <f t="shared" si="16"/>
        <v>-131.09848451024345</v>
      </c>
      <c r="Q72" s="6"/>
      <c r="R72" s="6">
        <f t="shared" si="17"/>
        <v>4.006375206587081</v>
      </c>
      <c r="S72" s="6">
        <f t="shared" si="18"/>
        <v>-6.9482196790429027</v>
      </c>
      <c r="T72" s="6">
        <f t="shared" si="19"/>
        <v>-6.9482196790429027</v>
      </c>
      <c r="U72" s="6">
        <f t="shared" si="20"/>
        <v>-1.4795738307236128</v>
      </c>
      <c r="V72" s="6">
        <f t="shared" si="21"/>
        <v>-1.4795738307236128</v>
      </c>
      <c r="W72" s="6">
        <f t="shared" si="22"/>
        <v>-9.1202605577511022</v>
      </c>
      <c r="X72" s="6">
        <f t="shared" si="23"/>
        <v>9.2394962720828335</v>
      </c>
      <c r="Y72" s="6">
        <f t="shared" si="24"/>
        <v>0.46715005735685661</v>
      </c>
    </row>
    <row r="73" ht="14.25">
      <c r="A73">
        <v>87</v>
      </c>
      <c r="B73">
        <f t="shared" si="6"/>
        <v>26.100000000000001</v>
      </c>
      <c r="E73">
        <f t="shared" si="7"/>
        <v>1.3833</v>
      </c>
      <c r="F73">
        <f t="shared" si="8"/>
        <v>1.3833</v>
      </c>
      <c r="G73">
        <f t="shared" si="9"/>
        <v>3.4075613935802807</v>
      </c>
      <c r="H73">
        <f t="shared" si="10"/>
        <v>3.4075613935802807</v>
      </c>
      <c r="I73">
        <f t="shared" si="11"/>
        <v>0.54637971708367905</v>
      </c>
      <c r="J73">
        <f t="shared" si="12"/>
        <v>3.4510875744117575</v>
      </c>
      <c r="K73" s="5">
        <f t="shared" si="13"/>
        <v>0.17999999999999999</v>
      </c>
      <c r="N73" s="5">
        <f t="shared" si="14"/>
        <v>156.59999999999999</v>
      </c>
      <c r="O73" s="5">
        <f t="shared" si="15"/>
        <v>55.99785257950407</v>
      </c>
      <c r="P73" s="6">
        <f t="shared" si="16"/>
        <v>-129.40340222144135</v>
      </c>
      <c r="Q73" s="6"/>
      <c r="R73" s="6">
        <f t="shared" si="17"/>
        <v>4.2232666110881967</v>
      </c>
      <c r="S73" s="6">
        <f t="shared" si="18"/>
        <v>-6.8583803177363913</v>
      </c>
      <c r="T73" s="6">
        <f t="shared" si="19"/>
        <v>-6.8583803177363913</v>
      </c>
      <c r="U73" s="6">
        <f t="shared" si="20"/>
        <v>-1.1917499887869614</v>
      </c>
      <c r="V73" s="6">
        <f t="shared" si="21"/>
        <v>-1.1917499887869614</v>
      </c>
      <c r="W73" s="6">
        <f t="shared" si="22"/>
        <v>-9.2016672489136404</v>
      </c>
      <c r="X73" s="6">
        <f t="shared" si="23"/>
        <v>9.2785207978159772</v>
      </c>
      <c r="Y73" s="6">
        <f t="shared" si="24"/>
        <v>0.50398067321553663</v>
      </c>
    </row>
    <row r="74" ht="14.25">
      <c r="A74">
        <v>86</v>
      </c>
      <c r="B74">
        <f t="shared" si="6"/>
        <v>25.800000000000001</v>
      </c>
      <c r="E74">
        <f t="shared" si="7"/>
        <v>1.3673999999999999</v>
      </c>
      <c r="F74">
        <f t="shared" si="8"/>
        <v>1.3673999999999999</v>
      </c>
      <c r="G74">
        <f t="shared" si="9"/>
        <v>3.3950075893365357</v>
      </c>
      <c r="H74">
        <f t="shared" si="10"/>
        <v>3.3950075893365357</v>
      </c>
      <c r="I74">
        <f t="shared" si="11"/>
        <v>0.53047971708367903</v>
      </c>
      <c r="J74">
        <f t="shared" si="12"/>
        <v>3.4362021567262095</v>
      </c>
      <c r="K74" s="5">
        <f t="shared" si="13"/>
        <v>0.17999999999999999</v>
      </c>
      <c r="N74" s="5">
        <f t="shared" si="14"/>
        <v>154.80000000000001</v>
      </c>
      <c r="O74" s="5">
        <f t="shared" si="15"/>
        <v>60.034880110675225</v>
      </c>
      <c r="P74" s="6">
        <f t="shared" si="16"/>
        <v>-127.58061439770876</v>
      </c>
      <c r="Q74" s="6"/>
      <c r="R74" s="6">
        <f t="shared" si="17"/>
        <v>4.4372290702402681</v>
      </c>
      <c r="S74" s="6">
        <f t="shared" si="18"/>
        <v>-6.7617725630785639</v>
      </c>
      <c r="T74" s="6">
        <f t="shared" si="19"/>
        <v>-6.7617725630785639</v>
      </c>
      <c r="U74" s="6">
        <f t="shared" si="20"/>
        <v>-0.90151112457815508</v>
      </c>
      <c r="V74" s="6">
        <f t="shared" si="21"/>
        <v>-0.90151112457815508</v>
      </c>
      <c r="W74" s="6">
        <f t="shared" si="22"/>
        <v>-9.2739930054322492</v>
      </c>
      <c r="X74" s="6">
        <f t="shared" si="23"/>
        <v>9.3177072594358989</v>
      </c>
      <c r="Y74" s="6">
        <f t="shared" si="24"/>
        <v>0.540313920996077</v>
      </c>
    </row>
    <row r="75" ht="14.25">
      <c r="A75">
        <v>85</v>
      </c>
      <c r="B75">
        <f t="shared" si="6"/>
        <v>25.5</v>
      </c>
      <c r="E75">
        <f t="shared" si="7"/>
        <v>1.3514999999999999</v>
      </c>
      <c r="F75">
        <f t="shared" si="8"/>
        <v>1.3514999999999999</v>
      </c>
      <c r="G75">
        <f t="shared" si="9"/>
        <v>3.3824537850927907</v>
      </c>
      <c r="H75">
        <f t="shared" si="10"/>
        <v>3.3824537850927907</v>
      </c>
      <c r="I75">
        <f t="shared" si="11"/>
        <v>0.514579717083679</v>
      </c>
      <c r="J75">
        <f t="shared" si="12"/>
        <v>3.4213719314804796</v>
      </c>
      <c r="K75" s="5">
        <f t="shared" si="13"/>
        <v>0.17999999999999999</v>
      </c>
      <c r="N75" s="5">
        <f t="shared" si="14"/>
        <v>153</v>
      </c>
      <c r="O75" s="5">
        <f t="shared" si="15"/>
        <v>64.012660463276106</v>
      </c>
      <c r="P75" s="6">
        <f t="shared" si="16"/>
        <v>-125.63191991055986</v>
      </c>
      <c r="Q75" s="6"/>
      <c r="R75" s="6">
        <f t="shared" si="17"/>
        <v>4.648051428928115</v>
      </c>
      <c r="S75" s="6">
        <f t="shared" si="18"/>
        <v>-6.6584917552596723</v>
      </c>
      <c r="T75" s="6">
        <f t="shared" si="19"/>
        <v>-6.6584917552596723</v>
      </c>
      <c r="U75" s="6">
        <f t="shared" si="20"/>
        <v>-0.60914366881520099</v>
      </c>
      <c r="V75" s="6">
        <f t="shared" si="21"/>
        <v>-0.60914366881520099</v>
      </c>
      <c r="W75" s="6">
        <f t="shared" si="22"/>
        <v>-9.3371664505172429</v>
      </c>
      <c r="X75" s="6">
        <f t="shared" si="23"/>
        <v>9.3570151936353305</v>
      </c>
      <c r="Y75" s="6">
        <f t="shared" si="24"/>
        <v>0.57611394416948503</v>
      </c>
    </row>
    <row r="76" ht="14.25">
      <c r="A76">
        <v>84</v>
      </c>
      <c r="B76">
        <f t="shared" si="6"/>
        <v>25.199999999999999</v>
      </c>
      <c r="E76">
        <f t="shared" si="7"/>
        <v>1.3355999999999999</v>
      </c>
      <c r="F76">
        <f t="shared" si="8"/>
        <v>1.3355999999999999</v>
      </c>
      <c r="G76">
        <f t="shared" si="9"/>
        <v>3.3698999808490457</v>
      </c>
      <c r="H76">
        <f t="shared" si="10"/>
        <v>3.3698999808490457</v>
      </c>
      <c r="I76">
        <f t="shared" si="11"/>
        <v>0.49867971708367897</v>
      </c>
      <c r="J76">
        <f t="shared" si="12"/>
        <v>3.4065976194961824</v>
      </c>
      <c r="K76" s="5">
        <f t="shared" si="13"/>
        <v>0.17999999999999999</v>
      </c>
      <c r="N76" s="5">
        <f t="shared" si="14"/>
        <v>151.19999999999999</v>
      </c>
      <c r="O76" s="5">
        <f t="shared" si="15"/>
        <v>67.927268048341901</v>
      </c>
      <c r="P76" s="6">
        <f t="shared" si="16"/>
        <v>-123.55924188618475</v>
      </c>
      <c r="Q76" s="6"/>
      <c r="R76" s="6">
        <f t="shared" si="17"/>
        <v>4.8555256309366017</v>
      </c>
      <c r="S76" s="6">
        <f t="shared" si="18"/>
        <v>-6.548639819967792</v>
      </c>
      <c r="T76" s="6">
        <f t="shared" si="19"/>
        <v>-6.548639819967792</v>
      </c>
      <c r="U76" s="6">
        <f t="shared" si="20"/>
        <v>-0.31493615287899157</v>
      </c>
      <c r="V76" s="6">
        <f t="shared" si="21"/>
        <v>-0.31493615287899157</v>
      </c>
      <c r="W76" s="6">
        <f t="shared" si="22"/>
        <v>-9.391125239605346</v>
      </c>
      <c r="X76" s="6">
        <f t="shared" si="23"/>
        <v>9.3964045276021828</v>
      </c>
      <c r="Y76" s="6">
        <f t="shared" si="24"/>
        <v>0.61134541243507712</v>
      </c>
    </row>
    <row r="77" ht="14.25">
      <c r="A77">
        <v>83</v>
      </c>
      <c r="B77">
        <f t="shared" si="6"/>
        <v>24.899999999999999</v>
      </c>
      <c r="E77">
        <f t="shared" si="7"/>
        <v>1.3196999999999999</v>
      </c>
      <c r="F77">
        <f t="shared" si="8"/>
        <v>1.3196999999999999</v>
      </c>
      <c r="G77">
        <f t="shared" si="9"/>
        <v>3.3573461766053008</v>
      </c>
      <c r="H77">
        <f t="shared" si="10"/>
        <v>3.3573461766053008</v>
      </c>
      <c r="I77">
        <f t="shared" si="11"/>
        <v>0.48277971708367895</v>
      </c>
      <c r="J77">
        <f t="shared" si="12"/>
        <v>3.3918799514124358</v>
      </c>
      <c r="K77" s="5">
        <f t="shared" si="13"/>
        <v>0.17999999999999999</v>
      </c>
      <c r="N77" s="5">
        <f t="shared" si="14"/>
        <v>149.40000000000001</v>
      </c>
      <c r="O77" s="5">
        <f t="shared" si="15"/>
        <v>71.774839620802325</v>
      </c>
      <c r="P77" s="6">
        <f t="shared" si="16"/>
        <v>-121.36462580755607</v>
      </c>
      <c r="Q77" s="6"/>
      <c r="R77" s="6">
        <f t="shared" si="17"/>
        <v>5.0594469242770046</v>
      </c>
      <c r="S77" s="6">
        <f t="shared" si="18"/>
        <v>-6.4323251678004709</v>
      </c>
      <c r="T77" s="6">
        <f t="shared" si="19"/>
        <v>-6.4323251678004709</v>
      </c>
      <c r="U77" s="6">
        <f t="shared" si="20"/>
        <v>-0.019178924067657199</v>
      </c>
      <c r="V77" s="6">
        <f t="shared" si="21"/>
        <v>-0.019178924067657199</v>
      </c>
      <c r="W77" s="6">
        <f t="shared" si="22"/>
        <v>-9.4358161218862424</v>
      </c>
      <c r="X77" s="6">
        <f t="shared" si="23"/>
        <v>9.4358356130857182</v>
      </c>
      <c r="Y77" s="6">
        <f t="shared" si="24"/>
        <v>0.64597355658722089</v>
      </c>
    </row>
    <row r="78" ht="14.25">
      <c r="A78">
        <v>82</v>
      </c>
      <c r="B78">
        <f t="shared" si="6"/>
        <v>24.600000000000001</v>
      </c>
      <c r="E78">
        <f t="shared" si="7"/>
        <v>1.3038000000000001</v>
      </c>
      <c r="F78">
        <f t="shared" si="8"/>
        <v>1.3038000000000001</v>
      </c>
      <c r="G78">
        <f t="shared" si="9"/>
        <v>3.3447923723615562</v>
      </c>
      <c r="H78">
        <f t="shared" si="10"/>
        <v>3.3447923723615562</v>
      </c>
      <c r="I78">
        <f t="shared" si="11"/>
        <v>0.46687971708367915</v>
      </c>
      <c r="J78">
        <f t="shared" si="12"/>
        <v>3.3772196677788346</v>
      </c>
      <c r="K78" s="5">
        <f t="shared" si="13"/>
        <v>0.17999999999999999</v>
      </c>
      <c r="N78" s="5">
        <f t="shared" si="14"/>
        <v>147.59999999999999</v>
      </c>
      <c r="O78" s="5">
        <f t="shared" si="15"/>
        <v>75.551578092038582</v>
      </c>
      <c r="P78" s="6">
        <f t="shared" si="16"/>
        <v>-119.05023749578409</v>
      </c>
      <c r="Q78" s="6"/>
      <c r="R78" s="6">
        <f t="shared" si="17"/>
        <v>5.2596140632525259</v>
      </c>
      <c r="S78" s="6">
        <f t="shared" si="18"/>
        <v>-6.3096625872765566</v>
      </c>
      <c r="T78" s="6">
        <f t="shared" si="19"/>
        <v>-6.3096625872765566</v>
      </c>
      <c r="U78" s="6">
        <f t="shared" si="20"/>
        <v>0.27783614094118558</v>
      </c>
      <c r="V78" s="6">
        <f t="shared" si="21"/>
        <v>0.27783614094118558</v>
      </c>
      <c r="W78" s="6">
        <f t="shared" si="22"/>
        <v>-9.4711949928547288</v>
      </c>
      <c r="X78" s="6">
        <f t="shared" si="23"/>
        <v>9.4752692581208251</v>
      </c>
      <c r="Y78" s="6">
        <f t="shared" si="24"/>
        <v>0.67996420282834724</v>
      </c>
    </row>
    <row r="79" ht="14.25">
      <c r="A79">
        <v>81</v>
      </c>
      <c r="B79">
        <f t="shared" si="6"/>
        <v>24.300000000000001</v>
      </c>
      <c r="E79">
        <f t="shared" si="7"/>
        <v>1.2879</v>
      </c>
      <c r="F79">
        <f t="shared" si="8"/>
        <v>1.2879</v>
      </c>
      <c r="G79">
        <f t="shared" si="9"/>
        <v>3.3322385681178117</v>
      </c>
      <c r="H79">
        <f t="shared" si="10"/>
        <v>3.3322385681178117</v>
      </c>
      <c r="I79">
        <f t="shared" si="11"/>
        <v>0.45097971708367912</v>
      </c>
      <c r="J79">
        <f t="shared" si="12"/>
        <v>3.3626175191467613</v>
      </c>
      <c r="K79" s="5">
        <f t="shared" si="13"/>
        <v>0.17999999999999999</v>
      </c>
      <c r="N79" s="5">
        <f t="shared" si="14"/>
        <v>145.80000000000001</v>
      </c>
      <c r="O79" s="5">
        <f t="shared" si="15"/>
        <v>79.253756277150401</v>
      </c>
      <c r="P79" s="6">
        <f t="shared" si="16"/>
        <v>-116.61836097271323</v>
      </c>
      <c r="Q79" s="6"/>
      <c r="R79" s="6">
        <f t="shared" si="17"/>
        <v>5.4558295070634522</v>
      </c>
      <c r="S79" s="6">
        <f t="shared" si="18"/>
        <v>-6.180773131553801</v>
      </c>
      <c r="T79" s="6">
        <f t="shared" si="19"/>
        <v>-6.180773131553801</v>
      </c>
      <c r="U79" s="6">
        <f t="shared" si="20"/>
        <v>0.57581592413741234</v>
      </c>
      <c r="V79" s="6">
        <f t="shared" si="21"/>
        <v>0.57581592413741234</v>
      </c>
      <c r="W79" s="6">
        <f t="shared" si="22"/>
        <v>-9.4972269378364942</v>
      </c>
      <c r="X79" s="6">
        <f t="shared" si="23"/>
        <v>9.5146667565005849</v>
      </c>
      <c r="Y79" s="6">
        <f t="shared" si="24"/>
        <v>0.71328380649435363</v>
      </c>
    </row>
    <row r="80" ht="14.25">
      <c r="A80">
        <v>80</v>
      </c>
      <c r="B80">
        <f t="shared" si="6"/>
        <v>24</v>
      </c>
      <c r="E80">
        <f t="shared" si="7"/>
        <v>1.272</v>
      </c>
      <c r="F80">
        <f t="shared" si="8"/>
        <v>1.272</v>
      </c>
      <c r="G80">
        <f t="shared" si="9"/>
        <v>3.3196847638740667</v>
      </c>
      <c r="H80">
        <f t="shared" si="10"/>
        <v>3.3196847638740667</v>
      </c>
      <c r="I80">
        <f t="shared" si="11"/>
        <v>0.4350797170836791</v>
      </c>
      <c r="J80">
        <f t="shared" si="12"/>
        <v>3.3480742661588665</v>
      </c>
      <c r="K80" s="5">
        <f t="shared" si="13"/>
        <v>0.17999999999999999</v>
      </c>
      <c r="N80" s="5">
        <f t="shared" si="14"/>
        <v>144</v>
      </c>
      <c r="O80" s="5">
        <f t="shared" si="15"/>
        <v>82.877720573238733</v>
      </c>
      <c r="P80" s="6">
        <f t="shared" si="16"/>
        <v>-114.07139620686758</v>
      </c>
      <c r="Q80" s="6"/>
      <c r="R80" s="6">
        <f t="shared" si="17"/>
        <v>5.6478996147561338</v>
      </c>
      <c r="S80" s="6">
        <f t="shared" si="18"/>
        <v>-6.045783998963981</v>
      </c>
      <c r="T80" s="6">
        <f t="shared" si="19"/>
        <v>-6.045783998963981</v>
      </c>
      <c r="U80" s="6">
        <f t="shared" si="20"/>
        <v>0.87446635545056672</v>
      </c>
      <c r="V80" s="6">
        <f t="shared" si="21"/>
        <v>0.87446635545056672</v>
      </c>
      <c r="W80" s="6">
        <f t="shared" si="22"/>
        <v>-9.5138862664447181</v>
      </c>
      <c r="X80" s="6">
        <f t="shared" si="23"/>
        <v>9.5539899150909946</v>
      </c>
      <c r="Y80" s="6">
        <f t="shared" si="24"/>
        <v>0.74589948515914861</v>
      </c>
    </row>
    <row r="81" ht="14.25">
      <c r="A81">
        <v>79</v>
      </c>
      <c r="B81">
        <f t="shared" si="6"/>
        <v>23.699999999999999</v>
      </c>
      <c r="E81">
        <f t="shared" si="7"/>
        <v>1.2561</v>
      </c>
      <c r="F81">
        <f t="shared" si="8"/>
        <v>1.2561</v>
      </c>
      <c r="G81">
        <f t="shared" si="9"/>
        <v>3.3071309596303218</v>
      </c>
      <c r="H81">
        <f t="shared" si="10"/>
        <v>3.3071309596303218</v>
      </c>
      <c r="I81">
        <f t="shared" si="11"/>
        <v>0.41917971708367907</v>
      </c>
      <c r="J81">
        <f t="shared" si="12"/>
        <v>3.3335906796365578</v>
      </c>
      <c r="K81" s="5">
        <f t="shared" si="13"/>
        <v>0.17999999999999999</v>
      </c>
      <c r="N81" s="5">
        <f t="shared" si="14"/>
        <v>142.19999999999999</v>
      </c>
      <c r="O81" s="5">
        <f t="shared" si="15"/>
        <v>86.419894565069725</v>
      </c>
      <c r="P81" s="6">
        <f t="shared" si="16"/>
        <v>-111.41185674497231</v>
      </c>
      <c r="Q81" s="6"/>
      <c r="R81" s="6">
        <f t="shared" si="17"/>
        <v>5.8356348363231767</v>
      </c>
      <c r="S81" s="6">
        <f t="shared" si="18"/>
        <v>-5.9048284074835324</v>
      </c>
      <c r="T81" s="6">
        <f t="shared" si="19"/>
        <v>-5.9048284074835324</v>
      </c>
      <c r="U81" s="6">
        <f t="shared" si="20"/>
        <v>1.1734927029614344</v>
      </c>
      <c r="V81" s="6">
        <f t="shared" si="21"/>
        <v>1.1734927029614344</v>
      </c>
      <c r="W81" s="6">
        <f t="shared" si="22"/>
        <v>-9.521156537933372</v>
      </c>
      <c r="X81" s="6">
        <f t="shared" si="23"/>
        <v>9.593201079083828</v>
      </c>
      <c r="Y81" s="6">
        <f t="shared" si="24"/>
        <v>0.7777790510856275</v>
      </c>
    </row>
    <row r="82" ht="14.25">
      <c r="A82">
        <v>78</v>
      </c>
      <c r="B82">
        <f t="shared" si="6"/>
        <v>23.399999999999999</v>
      </c>
      <c r="E82">
        <f t="shared" si="7"/>
        <v>1.2402</v>
      </c>
      <c r="F82">
        <f t="shared" si="8"/>
        <v>1.2402</v>
      </c>
      <c r="G82">
        <f t="shared" si="9"/>
        <v>3.2945771553865768</v>
      </c>
      <c r="H82">
        <f t="shared" si="10"/>
        <v>3.2945771553865768</v>
      </c>
      <c r="I82">
        <f t="shared" si="11"/>
        <v>0.40327971708367905</v>
      </c>
      <c r="J82">
        <f t="shared" si="12"/>
        <v>3.3191675406653096</v>
      </c>
      <c r="K82" s="5">
        <f t="shared" si="13"/>
        <v>0.17999999999999999</v>
      </c>
      <c r="N82" s="5">
        <f t="shared" si="14"/>
        <v>140.40000000000001</v>
      </c>
      <c r="O82" s="5">
        <f t="shared" si="15"/>
        <v>89.876782554565267</v>
      </c>
      <c r="P82" s="6">
        <f t="shared" si="16"/>
        <v>-108.64236723138627</v>
      </c>
      <c r="Q82" s="6"/>
      <c r="R82" s="6">
        <f t="shared" si="17"/>
        <v>6.0188498997664404</v>
      </c>
      <c r="S82" s="6">
        <f t="shared" si="18"/>
        <v>-5.7580454632634721</v>
      </c>
      <c r="T82" s="6">
        <f t="shared" si="19"/>
        <v>-5.7580454632634721</v>
      </c>
      <c r="U82" s="6">
        <f t="shared" si="20"/>
        <v>1.4725998637669084</v>
      </c>
      <c r="V82" s="6">
        <f t="shared" si="21"/>
        <v>1.4725998637669084</v>
      </c>
      <c r="W82" s="6">
        <f t="shared" si="22"/>
        <v>-9.5190305774222423</v>
      </c>
      <c r="X82" s="6">
        <f t="shared" si="23"/>
        <v>9.6322631552852584</v>
      </c>
      <c r="Y82" s="6">
        <f t="shared" si="24"/>
        <v>0.80889104299108738</v>
      </c>
    </row>
    <row r="83" ht="14.25">
      <c r="A83">
        <v>77</v>
      </c>
      <c r="B83">
        <f t="shared" si="6"/>
        <v>23.100000000000001</v>
      </c>
      <c r="E83">
        <f t="shared" si="7"/>
        <v>1.2242999999999999</v>
      </c>
      <c r="F83">
        <f t="shared" si="8"/>
        <v>1.2242999999999999</v>
      </c>
      <c r="G83">
        <f t="shared" si="9"/>
        <v>3.2820233511428323</v>
      </c>
      <c r="H83">
        <f t="shared" si="10"/>
        <v>3.2820233511428323</v>
      </c>
      <c r="I83">
        <f t="shared" si="11"/>
        <v>0.38737971708367902</v>
      </c>
      <c r="J83">
        <f t="shared" si="12"/>
        <v>3.3048056406776265</v>
      </c>
      <c r="K83" s="5">
        <f t="shared" si="13"/>
        <v>0.17999999999999999</v>
      </c>
      <c r="N83" s="5">
        <f t="shared" si="14"/>
        <v>138.59999999999999</v>
      </c>
      <c r="O83" s="5">
        <f t="shared" si="15"/>
        <v>93.244973010634908</v>
      </c>
      <c r="P83" s="6">
        <f t="shared" si="16"/>
        <v>-105.76566081789478</v>
      </c>
      <c r="Q83" s="6"/>
      <c r="R83" s="6">
        <f t="shared" si="17"/>
        <v>6.1973639939381311</v>
      </c>
      <c r="S83" s="6">
        <f t="shared" si="18"/>
        <v>-5.6055800233484234</v>
      </c>
      <c r="T83" s="6">
        <f t="shared" si="19"/>
        <v>-5.6055800233484234</v>
      </c>
      <c r="U83" s="6">
        <f t="shared" si="20"/>
        <v>1.771492655210924</v>
      </c>
      <c r="V83" s="6">
        <f t="shared" si="21"/>
        <v>1.771492655210924</v>
      </c>
      <c r="W83" s="6">
        <f t="shared" si="22"/>
        <v>-9.5075104829776862</v>
      </c>
      <c r="X83" s="6">
        <f t="shared" si="23"/>
        <v>9.6711396335383792</v>
      </c>
      <c r="Y83" s="6">
        <f t="shared" si="24"/>
        <v>0.83920475709571418</v>
      </c>
    </row>
    <row r="84" ht="14.25">
      <c r="A84">
        <v>76</v>
      </c>
      <c r="B84">
        <f t="shared" si="6"/>
        <v>22.800000000000001</v>
      </c>
      <c r="E84">
        <f t="shared" si="7"/>
        <v>1.2083999999999999</v>
      </c>
      <c r="F84">
        <f t="shared" si="8"/>
        <v>1.2083999999999999</v>
      </c>
      <c r="G84">
        <f t="shared" si="9"/>
        <v>3.2694695468990873</v>
      </c>
      <c r="H84">
        <f t="shared" si="10"/>
        <v>3.2694695468990873</v>
      </c>
      <c r="I84">
        <f t="shared" si="11"/>
        <v>0.371479717083679</v>
      </c>
      <c r="J84">
        <f t="shared" si="12"/>
        <v>3.2905057815334549</v>
      </c>
      <c r="K84" s="5">
        <f t="shared" si="13"/>
        <v>0.17999999999999999</v>
      </c>
      <c r="N84" s="5">
        <f t="shared" si="14"/>
        <v>136.80000000000001</v>
      </c>
      <c r="O84" s="5">
        <f t="shared" si="15"/>
        <v>96.521141935945124</v>
      </c>
      <c r="P84" s="6">
        <f t="shared" si="16"/>
        <v>-102.784576466419</v>
      </c>
      <c r="Q84" s="6"/>
      <c r="R84" s="6">
        <f t="shared" si="17"/>
        <v>6.3710009469795725</v>
      </c>
      <c r="S84" s="6">
        <f t="shared" si="18"/>
        <v>-5.4475825527202071</v>
      </c>
      <c r="T84" s="6">
        <f t="shared" si="19"/>
        <v>-5.4475825527202071</v>
      </c>
      <c r="U84" s="6">
        <f t="shared" si="20"/>
        <v>2.0698761061940916</v>
      </c>
      <c r="V84" s="6">
        <f t="shared" si="21"/>
        <v>2.0698761061940916</v>
      </c>
      <c r="W84" s="6">
        <f t="shared" si="22"/>
        <v>-9.4866076235420849</v>
      </c>
      <c r="X84" s="6">
        <f t="shared" si="23"/>
        <v>9.7097946063776259</v>
      </c>
      <c r="Y84" s="6">
        <f t="shared" si="24"/>
        <v>0.86869027742350613</v>
      </c>
    </row>
    <row r="85" ht="14.25">
      <c r="A85">
        <v>75</v>
      </c>
      <c r="B85">
        <f t="shared" si="6"/>
        <v>22.5</v>
      </c>
      <c r="E85">
        <f t="shared" si="7"/>
        <v>1.1924999999999999</v>
      </c>
      <c r="F85">
        <f t="shared" si="8"/>
        <v>1.1924999999999999</v>
      </c>
      <c r="G85">
        <f t="shared" si="9"/>
        <v>3.2569157426553428</v>
      </c>
      <c r="H85">
        <f t="shared" si="10"/>
        <v>3.2569157426553428</v>
      </c>
      <c r="I85">
        <f t="shared" si="11"/>
        <v>0.35557971708367897</v>
      </c>
      <c r="J85">
        <f t="shared" si="12"/>
        <v>3.2762687755978614</v>
      </c>
      <c r="K85" s="5">
        <f t="shared" si="13"/>
        <v>0.17999999999999999</v>
      </c>
      <c r="N85" s="5">
        <f t="shared" si="14"/>
        <v>135</v>
      </c>
      <c r="O85" s="5">
        <f t="shared" si="15"/>
        <v>99.70205614730321</v>
      </c>
      <c r="P85" s="6">
        <f t="shared" si="16"/>
        <v>-99.702056147303196</v>
      </c>
      <c r="Q85" s="6"/>
      <c r="R85" s="6">
        <f t="shared" si="17"/>
        <v>6.5395894001815513</v>
      </c>
      <c r="S85" s="6">
        <f t="shared" si="18"/>
        <v>-5.2842089758070694</v>
      </c>
      <c r="T85" s="6">
        <f t="shared" si="19"/>
        <v>-5.2842089758070694</v>
      </c>
      <c r="U85" s="6">
        <f t="shared" si="20"/>
        <v>2.3674557482745566</v>
      </c>
      <c r="V85" s="6">
        <f t="shared" si="21"/>
        <v>2.3674557482745566</v>
      </c>
      <c r="W85" s="6">
        <f t="shared" si="22"/>
        <v>-9.456342627714065</v>
      </c>
      <c r="X85" s="6">
        <f t="shared" si="23"/>
        <v>9.748192787012389</v>
      </c>
      <c r="Y85" s="6">
        <f t="shared" si="24"/>
        <v>0.89731850532572888</v>
      </c>
    </row>
    <row r="86" ht="14.25">
      <c r="A86">
        <v>74</v>
      </c>
      <c r="B86">
        <f t="shared" si="6"/>
        <v>22.199999999999999</v>
      </c>
      <c r="E86">
        <f t="shared" si="7"/>
        <v>1.1765999999999999</v>
      </c>
      <c r="F86">
        <f t="shared" si="8"/>
        <v>1.1765999999999999</v>
      </c>
      <c r="G86">
        <f t="shared" si="9"/>
        <v>3.2443619384115978</v>
      </c>
      <c r="H86">
        <f t="shared" si="10"/>
        <v>3.2443619384115978</v>
      </c>
      <c r="I86">
        <f t="shared" si="11"/>
        <v>0.33967971708367894</v>
      </c>
      <c r="J86">
        <f t="shared" si="12"/>
        <v>3.2620954458157581</v>
      </c>
      <c r="K86" s="5">
        <f t="shared" si="13"/>
        <v>0.17999999999999999</v>
      </c>
      <c r="N86" s="5">
        <f t="shared" si="14"/>
        <v>133.19999999999999</v>
      </c>
      <c r="O86" s="5">
        <f t="shared" si="15"/>
        <v>102.78457646641901</v>
      </c>
      <c r="P86" s="6">
        <f t="shared" si="16"/>
        <v>-96.52114193594511</v>
      </c>
      <c r="Q86" s="6"/>
      <c r="R86" s="6">
        <f t="shared" si="17"/>
        <v>6.7029629770946881</v>
      </c>
      <c r="S86" s="6">
        <f t="shared" si="18"/>
        <v>-5.1156205226050906</v>
      </c>
      <c r="T86" s="6">
        <f t="shared" si="19"/>
        <v>-5.1156205226050906</v>
      </c>
      <c r="U86" s="6">
        <f t="shared" si="20"/>
        <v>2.6639379062728104</v>
      </c>
      <c r="V86" s="6">
        <f t="shared" si="21"/>
        <v>2.6639379062728104</v>
      </c>
      <c r="W86" s="6">
        <f t="shared" si="22"/>
        <v>-9.4167453633905716</v>
      </c>
      <c r="X86" s="6">
        <f t="shared" si="23"/>
        <v>9.7862995257357106</v>
      </c>
      <c r="Y86" s="6">
        <f t="shared" si="24"/>
        <v>0.92506118819777106</v>
      </c>
    </row>
    <row r="87" ht="14.25">
      <c r="A87">
        <v>73</v>
      </c>
      <c r="B87">
        <f t="shared" si="6"/>
        <v>21.899999999999999</v>
      </c>
      <c r="E87">
        <f t="shared" si="7"/>
        <v>1.1606999999999998</v>
      </c>
      <c r="F87">
        <f t="shared" si="8"/>
        <v>1.1606999999999998</v>
      </c>
      <c r="G87">
        <f t="shared" si="9"/>
        <v>3.2318081341678528</v>
      </c>
      <c r="H87">
        <f t="shared" si="10"/>
        <v>3.2318081341678528</v>
      </c>
      <c r="I87">
        <f t="shared" si="11"/>
        <v>0.32377971708367892</v>
      </c>
      <c r="J87">
        <f t="shared" si="12"/>
        <v>3.2479866257834691</v>
      </c>
      <c r="K87" s="5">
        <f t="shared" si="13"/>
        <v>0.17999999999999999</v>
      </c>
      <c r="N87" s="5">
        <f t="shared" si="14"/>
        <v>131.40000000000001</v>
      </c>
      <c r="O87" s="5">
        <f t="shared" si="15"/>
        <v>105.7656608178948</v>
      </c>
      <c r="P87" s="6">
        <f t="shared" si="16"/>
        <v>-93.244973010634894</v>
      </c>
      <c r="Q87" s="6"/>
      <c r="R87" s="6">
        <f t="shared" si="17"/>
        <v>6.8609604477229054</v>
      </c>
      <c r="S87" s="6">
        <f t="shared" si="18"/>
        <v>-4.9419835695636491</v>
      </c>
      <c r="T87" s="6">
        <f t="shared" si="19"/>
        <v>-4.9419835695636491</v>
      </c>
      <c r="U87" s="6">
        <f t="shared" si="20"/>
        <v>2.9590299880936426</v>
      </c>
      <c r="V87" s="6">
        <f t="shared" si="21"/>
        <v>2.9590299880936426</v>
      </c>
      <c r="W87" s="6">
        <f t="shared" si="22"/>
        <v>-9.3678549082908571</v>
      </c>
      <c r="X87" s="6">
        <f t="shared" si="23"/>
        <v>9.8240808248520928</v>
      </c>
      <c r="Y87" s="6">
        <f t="shared" si="24"/>
        <v>0.95189094736105306</v>
      </c>
    </row>
    <row r="88" ht="14.25">
      <c r="A88">
        <v>72</v>
      </c>
      <c r="B88">
        <f t="shared" si="6"/>
        <v>21.600000000000001</v>
      </c>
      <c r="E88">
        <f t="shared" si="7"/>
        <v>1.1448</v>
      </c>
      <c r="F88">
        <f t="shared" si="8"/>
        <v>1.1448</v>
      </c>
      <c r="G88">
        <f t="shared" si="9"/>
        <v>3.2192543299241083</v>
      </c>
      <c r="H88">
        <f t="shared" si="10"/>
        <v>3.2192543299241083</v>
      </c>
      <c r="I88">
        <f t="shared" si="11"/>
        <v>0.30787971708367912</v>
      </c>
      <c r="J88">
        <f t="shared" si="12"/>
        <v>3.2339431598169202</v>
      </c>
      <c r="K88" s="5">
        <f t="shared" si="13"/>
        <v>0.17999999999999999</v>
      </c>
      <c r="N88" s="5">
        <f t="shared" si="14"/>
        <v>129.59999999999999</v>
      </c>
      <c r="O88" s="5">
        <f t="shared" si="15"/>
        <v>108.64236723138629</v>
      </c>
      <c r="P88" s="6">
        <f t="shared" si="16"/>
        <v>-89.876782554565253</v>
      </c>
      <c r="Q88" s="6"/>
      <c r="R88" s="6">
        <f t="shared" si="17"/>
        <v>7.013425887637954</v>
      </c>
      <c r="S88" s="6">
        <f t="shared" si="18"/>
        <v>-4.7634694753919584</v>
      </c>
      <c r="T88" s="6">
        <f t="shared" si="19"/>
        <v>-4.7634694753919584</v>
      </c>
      <c r="U88" s="6">
        <f t="shared" si="20"/>
        <v>3.2524407734791834</v>
      </c>
      <c r="V88" s="6">
        <f t="shared" si="21"/>
        <v>3.2524407734791834</v>
      </c>
      <c r="W88" s="6">
        <f t="shared" si="22"/>
        <v>-9.3097195113914903</v>
      </c>
      <c r="X88" s="6">
        <f t="shared" si="23"/>
        <v>9.8615033522162978</v>
      </c>
      <c r="Y88" s="6">
        <f t="shared" si="24"/>
        <v>0.97778130508247663</v>
      </c>
    </row>
    <row r="89" ht="14.25">
      <c r="A89">
        <v>71</v>
      </c>
      <c r="B89">
        <f t="shared" si="6"/>
        <v>21.300000000000001</v>
      </c>
      <c r="E89">
        <f t="shared" si="7"/>
        <v>1.1289</v>
      </c>
      <c r="F89">
        <f t="shared" si="8"/>
        <v>1.1289</v>
      </c>
      <c r="G89">
        <f t="shared" si="9"/>
        <v>3.2067005256803633</v>
      </c>
      <c r="H89">
        <f t="shared" si="10"/>
        <v>3.2067005256803633</v>
      </c>
      <c r="I89">
        <f t="shared" si="11"/>
        <v>0.29197971708367909</v>
      </c>
      <c r="J89">
        <f t="shared" si="12"/>
        <v>3.2199659030162078</v>
      </c>
      <c r="K89" s="5">
        <f t="shared" si="13"/>
        <v>0.17999999999999999</v>
      </c>
      <c r="N89" s="5">
        <f t="shared" si="14"/>
        <v>127.8</v>
      </c>
      <c r="O89" s="5">
        <f t="shared" si="15"/>
        <v>111.41185674497237</v>
      </c>
      <c r="P89" s="6">
        <f t="shared" si="16"/>
        <v>-86.419894565069654</v>
      </c>
      <c r="Q89" s="6"/>
      <c r="R89" s="6">
        <f t="shared" si="17"/>
        <v>7.1602088318580162</v>
      </c>
      <c r="S89" s="6">
        <f t="shared" si="18"/>
        <v>-4.5802544119486912</v>
      </c>
      <c r="T89" s="6">
        <f t="shared" si="19"/>
        <v>-4.5802544119486912</v>
      </c>
      <c r="U89" s="6">
        <f t="shared" si="20"/>
        <v>3.5438807014081806</v>
      </c>
      <c r="V89" s="6">
        <f t="shared" si="21"/>
        <v>3.5438807014081806</v>
      </c>
      <c r="W89" s="6">
        <f t="shared" si="22"/>
        <v>-9.2423965453104362</v>
      </c>
      <c r="X89" s="6">
        <f t="shared" si="23"/>
        <v>9.898534453472374</v>
      </c>
      <c r="Y89" s="6">
        <f t="shared" si="24"/>
        <v>1.0027067107047514</v>
      </c>
    </row>
    <row r="90" ht="14.25">
      <c r="A90">
        <v>70</v>
      </c>
      <c r="B90">
        <f t="shared" si="6"/>
        <v>21</v>
      </c>
      <c r="E90">
        <f t="shared" si="7"/>
        <v>1.113</v>
      </c>
      <c r="F90">
        <f t="shared" si="8"/>
        <v>1.113</v>
      </c>
      <c r="G90">
        <f t="shared" si="9"/>
        <v>3.1941467214366188</v>
      </c>
      <c r="H90">
        <f t="shared" si="10"/>
        <v>3.1941467214366188</v>
      </c>
      <c r="I90">
        <f t="shared" si="11"/>
        <v>0.27607971708367907</v>
      </c>
      <c r="J90">
        <f t="shared" si="12"/>
        <v>3.2060557213263317</v>
      </c>
      <c r="K90" s="5">
        <f t="shared" si="13"/>
        <v>0.17999999999999999</v>
      </c>
      <c r="N90" s="5">
        <f t="shared" si="14"/>
        <v>126</v>
      </c>
      <c r="O90" s="5">
        <f t="shared" si="15"/>
        <v>114.07139620686759</v>
      </c>
      <c r="P90" s="6">
        <f t="shared" si="16"/>
        <v>-82.87772057323869</v>
      </c>
      <c r="Q90" s="6"/>
      <c r="R90" s="6">
        <f t="shared" si="17"/>
        <v>7.3011644233384629</v>
      </c>
      <c r="S90" s="6">
        <f t="shared" si="18"/>
        <v>-4.3925191903816501</v>
      </c>
      <c r="T90" s="6">
        <f t="shared" si="19"/>
        <v>-4.3925191903816501</v>
      </c>
      <c r="U90" s="6">
        <f t="shared" si="20"/>
        <v>3.8330621558577271</v>
      </c>
      <c r="V90" s="6">
        <f t="shared" si="21"/>
        <v>3.8330621558577271</v>
      </c>
      <c r="W90" s="6">
        <f t="shared" si="22"/>
        <v>-9.165952449687218</v>
      </c>
      <c r="X90" s="6">
        <f t="shared" si="23"/>
        <v>9.9351421630792895</v>
      </c>
      <c r="Y90" s="6">
        <f t="shared" si="24"/>
        <v>1.0266425658618084</v>
      </c>
    </row>
    <row r="91" ht="14.25">
      <c r="A91">
        <v>69</v>
      </c>
      <c r="B91">
        <f t="shared" si="6"/>
        <v>20.699999999999999</v>
      </c>
      <c r="E91">
        <f t="shared" si="7"/>
        <v>1.0971</v>
      </c>
      <c r="F91">
        <f t="shared" si="8"/>
        <v>1.0971</v>
      </c>
      <c r="G91">
        <f t="shared" si="9"/>
        <v>3.1815929171928738</v>
      </c>
      <c r="H91">
        <f t="shared" si="10"/>
        <v>3.1815929171928738</v>
      </c>
      <c r="I91">
        <f t="shared" si="11"/>
        <v>0.26017971708367904</v>
      </c>
      <c r="J91">
        <f t="shared" si="12"/>
        <v>3.1922134915938196</v>
      </c>
      <c r="K91" s="5">
        <f t="shared" si="13"/>
        <v>0.17999999999999999</v>
      </c>
      <c r="N91" s="5">
        <f t="shared" si="14"/>
        <v>124.2</v>
      </c>
      <c r="O91" s="5">
        <f t="shared" si="15"/>
        <v>116.61836097271321</v>
      </c>
      <c r="P91" s="6">
        <f t="shared" si="16"/>
        <v>-79.25375627715043</v>
      </c>
      <c r="Q91" s="6"/>
      <c r="R91" s="6">
        <f t="shared" si="17"/>
        <v>7.4361535559282803</v>
      </c>
      <c r="S91" s="6">
        <f t="shared" si="18"/>
        <v>-4.2004490826889729</v>
      </c>
      <c r="T91" s="6">
        <f t="shared" si="19"/>
        <v>-4.2004490826889729</v>
      </c>
      <c r="U91" s="6">
        <f t="shared" si="20"/>
        <v>4.1196997496455863</v>
      </c>
      <c r="V91" s="6">
        <f t="shared" si="21"/>
        <v>4.1196997496455863</v>
      </c>
      <c r="W91" s="6">
        <f t="shared" si="22"/>
        <v>-9.0804626656150127</v>
      </c>
      <c r="X91" s="6">
        <f t="shared" si="23"/>
        <v>9.9712952142065276</v>
      </c>
      <c r="Y91" s="6">
        <f t="shared" si="24"/>
        <v>1.0495652487544187</v>
      </c>
    </row>
    <row r="92" ht="14.25">
      <c r="A92">
        <v>68</v>
      </c>
      <c r="B92">
        <f t="shared" si="6"/>
        <v>20.399999999999999</v>
      </c>
      <c r="E92">
        <f t="shared" si="7"/>
        <v>1.0811999999999999</v>
      </c>
      <c r="F92">
        <f t="shared" si="8"/>
        <v>1.0811999999999999</v>
      </c>
      <c r="G92">
        <f t="shared" si="9"/>
        <v>3.1690391129491289</v>
      </c>
      <c r="H92">
        <f t="shared" si="10"/>
        <v>3.1690391129491289</v>
      </c>
      <c r="I92">
        <f t="shared" si="11"/>
        <v>0.24427971708367902</v>
      </c>
      <c r="J92">
        <f t="shared" si="12"/>
        <v>3.1784401016190134</v>
      </c>
      <c r="K92" s="5">
        <f t="shared" si="13"/>
        <v>0.17999999999999999</v>
      </c>
      <c r="N92" s="5">
        <f t="shared" si="14"/>
        <v>122.40000000000001</v>
      </c>
      <c r="O92" s="5">
        <f t="shared" si="15"/>
        <v>119.05023749578412</v>
      </c>
      <c r="P92" s="6">
        <f t="shared" si="16"/>
        <v>-75.551578092038554</v>
      </c>
      <c r="Q92" s="6"/>
      <c r="R92" s="6">
        <f t="shared" si="17"/>
        <v>7.5650430116510394</v>
      </c>
      <c r="S92" s="6">
        <f t="shared" si="18"/>
        <v>-4.0042336388780431</v>
      </c>
      <c r="T92" s="6">
        <f t="shared" si="19"/>
        <v>-4.0042336388780431</v>
      </c>
      <c r="U92" s="6">
        <f t="shared" si="20"/>
        <v>4.403510606072869</v>
      </c>
      <c r="V92" s="6">
        <f t="shared" si="21"/>
        <v>4.403510606072869</v>
      </c>
      <c r="W92" s="6">
        <f t="shared" si="22"/>
        <v>-8.986011561189386</v>
      </c>
      <c r="X92" s="6">
        <f t="shared" si="23"/>
        <v>10.006963047579699</v>
      </c>
      <c r="Y92" s="6">
        <f t="shared" si="24"/>
        <v>1.0714521374620571</v>
      </c>
    </row>
    <row r="93" ht="14.25">
      <c r="A93">
        <v>67</v>
      </c>
      <c r="B93">
        <f t="shared" si="6"/>
        <v>20.100000000000001</v>
      </c>
      <c r="E93">
        <f t="shared" si="7"/>
        <v>1.0653000000000001</v>
      </c>
      <c r="F93">
        <f t="shared" si="8"/>
        <v>1.0653000000000001</v>
      </c>
      <c r="G93">
        <f t="shared" si="9"/>
        <v>3.1564853087053839</v>
      </c>
      <c r="H93">
        <f t="shared" si="10"/>
        <v>3.1564853087053839</v>
      </c>
      <c r="I93">
        <f t="shared" si="11"/>
        <v>0.22837971708367921</v>
      </c>
      <c r="J93">
        <f t="shared" si="12"/>
        <v>3.1647364502037361</v>
      </c>
      <c r="K93" s="5">
        <f t="shared" si="13"/>
        <v>0.17999999999999999</v>
      </c>
      <c r="N93" s="5">
        <f t="shared" si="14"/>
        <v>120.59999999999999</v>
      </c>
      <c r="O93" s="5">
        <f t="shared" si="15"/>
        <v>121.36462580755608</v>
      </c>
      <c r="P93" s="6">
        <f t="shared" si="16"/>
        <v>-71.774839620802297</v>
      </c>
      <c r="Q93" s="6"/>
      <c r="R93" s="6">
        <f t="shared" si="17"/>
        <v>7.6877055921749529</v>
      </c>
      <c r="S93" s="6">
        <f t="shared" si="18"/>
        <v>-3.8040664999025218</v>
      </c>
      <c r="T93" s="6">
        <f t="shared" si="19"/>
        <v>-3.8040664999025218</v>
      </c>
      <c r="U93" s="6">
        <f t="shared" si="20"/>
        <v>4.6842146380891823</v>
      </c>
      <c r="V93" s="6">
        <f t="shared" si="21"/>
        <v>4.6842146380891823</v>
      </c>
      <c r="W93" s="6">
        <f t="shared" si="22"/>
        <v>-8.8826923482471845</v>
      </c>
      <c r="X93" s="6">
        <f t="shared" si="23"/>
        <v>10.042115819352913</v>
      </c>
      <c r="Y93" s="6">
        <f t="shared" si="24"/>
        <v>1.0922816322680047</v>
      </c>
    </row>
    <row r="94" ht="14.25">
      <c r="A94">
        <v>66</v>
      </c>
      <c r="B94">
        <f t="shared" si="6"/>
        <v>19.800000000000001</v>
      </c>
      <c r="E94">
        <f t="shared" si="7"/>
        <v>1.0494000000000001</v>
      </c>
      <c r="F94">
        <f t="shared" si="8"/>
        <v>1.0494000000000001</v>
      </c>
      <c r="G94">
        <f t="shared" si="9"/>
        <v>3.1439315044616389</v>
      </c>
      <c r="H94">
        <f t="shared" si="10"/>
        <v>3.1439315044616389</v>
      </c>
      <c r="I94">
        <f t="shared" si="11"/>
        <v>0.21247971708367919</v>
      </c>
      <c r="J94">
        <f t="shared" si="12"/>
        <v>3.1511034471940755</v>
      </c>
      <c r="K94" s="5">
        <f t="shared" si="13"/>
        <v>0.17999999999999999</v>
      </c>
      <c r="N94" s="5">
        <f t="shared" si="14"/>
        <v>118.8</v>
      </c>
      <c r="O94" s="5">
        <f t="shared" si="15"/>
        <v>123.55924188618475</v>
      </c>
      <c r="P94" s="6">
        <f t="shared" si="16"/>
        <v>-67.927268048341872</v>
      </c>
      <c r="Q94" s="6"/>
      <c r="R94" s="6">
        <f t="shared" si="17"/>
        <v>7.804020244342273</v>
      </c>
      <c r="S94" s="6">
        <f t="shared" si="18"/>
        <v>-3.6001452065621193</v>
      </c>
      <c r="T94" s="6">
        <f t="shared" si="19"/>
        <v>-3.6001452065621193</v>
      </c>
      <c r="U94" s="6">
        <f t="shared" si="20"/>
        <v>4.9615348247047208</v>
      </c>
      <c r="V94" s="6">
        <f t="shared" si="21"/>
        <v>4.9615348247047208</v>
      </c>
      <c r="W94" s="6">
        <f t="shared" si="22"/>
        <v>-8.7706069903777131</v>
      </c>
      <c r="X94" s="6">
        <f t="shared" si="23"/>
        <v>10.076724408081235</v>
      </c>
      <c r="Y94" s="6">
        <f t="shared" si="24"/>
        <v>1.1120331769756628</v>
      </c>
    </row>
    <row r="95" ht="14.25">
      <c r="A95">
        <v>65</v>
      </c>
      <c r="B95">
        <f t="shared" si="6"/>
        <v>19.5</v>
      </c>
      <c r="E95">
        <f t="shared" si="7"/>
        <v>1.0334999999999999</v>
      </c>
      <c r="F95">
        <f t="shared" si="8"/>
        <v>1.0334999999999999</v>
      </c>
      <c r="G95">
        <f t="shared" si="9"/>
        <v>3.1313777002178944</v>
      </c>
      <c r="H95">
        <f t="shared" si="10"/>
        <v>3.1313777002178944</v>
      </c>
      <c r="I95">
        <f t="shared" si="11"/>
        <v>0.19657971708367894</v>
      </c>
      <c r="J95">
        <f t="shared" si="12"/>
        <v>3.1375420135180039</v>
      </c>
      <c r="K95" s="5">
        <f t="shared" si="13"/>
        <v>0.17999999999999999</v>
      </c>
      <c r="N95" s="5">
        <f t="shared" si="14"/>
        <v>117</v>
      </c>
      <c r="O95" s="5">
        <f t="shared" si="15"/>
        <v>125.63191991055987</v>
      </c>
      <c r="P95" s="6">
        <f t="shared" si="16"/>
        <v>-64.012660463276092</v>
      </c>
      <c r="Q95" s="6"/>
      <c r="R95" s="6">
        <f t="shared" si="17"/>
        <v>7.9138721796341542</v>
      </c>
      <c r="S95" s="6">
        <f t="shared" si="18"/>
        <v>-3.3926710045536326</v>
      </c>
      <c r="T95" s="6">
        <f t="shared" si="19"/>
        <v>-3.3926710045536326</v>
      </c>
      <c r="U95" s="6">
        <f t="shared" si="20"/>
        <v>5.2351974843765836</v>
      </c>
      <c r="V95" s="6">
        <f t="shared" si="21"/>
        <v>5.2351974843765836</v>
      </c>
      <c r="W95" s="6">
        <f t="shared" si="22"/>
        <v>-8.649866102296949</v>
      </c>
      <c r="X95" s="6">
        <f t="shared" si="23"/>
        <v>10.110760420862949</v>
      </c>
      <c r="Y95" s="6">
        <f t="shared" si="24"/>
        <v>1.1306872791950389</v>
      </c>
    </row>
    <row r="96" ht="14.25">
      <c r="A96">
        <v>64</v>
      </c>
      <c r="B96">
        <f t="shared" si="6"/>
        <v>19.199999999999999</v>
      </c>
      <c r="E96">
        <f t="shared" si="7"/>
        <v>1.0175999999999998</v>
      </c>
      <c r="F96">
        <f t="shared" si="8"/>
        <v>1.0175999999999998</v>
      </c>
      <c r="G96">
        <f t="shared" si="9"/>
        <v>3.1188238959741494</v>
      </c>
      <c r="H96">
        <f t="shared" si="10"/>
        <v>3.1188238959741494</v>
      </c>
      <c r="I96">
        <f t="shared" si="11"/>
        <v>0.18067971708367891</v>
      </c>
      <c r="J96">
        <f t="shared" si="12"/>
        <v>3.1240530812175407</v>
      </c>
      <c r="K96" s="5">
        <f t="shared" si="13"/>
        <v>0.17999999999999999</v>
      </c>
      <c r="N96" s="5">
        <f t="shared" si="14"/>
        <v>115.2</v>
      </c>
      <c r="O96" s="5">
        <f t="shared" si="15"/>
        <v>127.58061439770874</v>
      </c>
      <c r="P96" s="6">
        <f t="shared" si="16"/>
        <v>-60.034880110675253</v>
      </c>
      <c r="Q96" s="6"/>
      <c r="R96" s="6">
        <f t="shared" si="17"/>
        <v>8.0171529874530449</v>
      </c>
      <c r="S96" s="6">
        <f t="shared" si="18"/>
        <v>-3.1818486458657884</v>
      </c>
      <c r="T96" s="6">
        <f t="shared" si="19"/>
        <v>-3.1818486458657884</v>
      </c>
      <c r="U96" s="6">
        <f t="shared" si="20"/>
        <v>5.5049325450993578</v>
      </c>
      <c r="V96" s="6">
        <f t="shared" si="21"/>
        <v>5.5049325450993578</v>
      </c>
      <c r="W96" s="6">
        <f t="shared" si="22"/>
        <v>-8.5205888406842103</v>
      </c>
      <c r="X96" s="6">
        <f t="shared" si="23"/>
        <v>10.144196198718083</v>
      </c>
      <c r="Y96" s="6">
        <f t="shared" si="24"/>
        <v>1.1482255295793788</v>
      </c>
    </row>
    <row r="97" ht="14.25">
      <c r="A97">
        <v>63</v>
      </c>
      <c r="B97">
        <f t="shared" si="6"/>
        <v>18.899999999999999</v>
      </c>
      <c r="E97">
        <f t="shared" si="7"/>
        <v>1.0016999999999998</v>
      </c>
      <c r="F97">
        <f t="shared" si="8"/>
        <v>1.0016999999999998</v>
      </c>
      <c r="G97">
        <f t="shared" si="9"/>
        <v>3.1062700917304049</v>
      </c>
      <c r="H97">
        <f t="shared" si="10"/>
        <v>3.1062700917304049</v>
      </c>
      <c r="I97">
        <f t="shared" si="11"/>
        <v>0.16477971708367889</v>
      </c>
      <c r="J97">
        <f t="shared" si="12"/>
        <v>3.1106375934751695</v>
      </c>
      <c r="K97" s="5">
        <f t="shared" si="13"/>
        <v>0.17999999999999999</v>
      </c>
      <c r="N97" s="5">
        <f t="shared" si="14"/>
        <v>113.40000000000001</v>
      </c>
      <c r="O97" s="5">
        <f t="shared" si="15"/>
        <v>129.40340222144135</v>
      </c>
      <c r="P97" s="6">
        <f t="shared" si="16"/>
        <v>-55.997852579504041</v>
      </c>
      <c r="Q97" s="6"/>
      <c r="R97" s="6">
        <f t="shared" si="17"/>
        <v>8.1137607421108733</v>
      </c>
      <c r="S97" s="6">
        <f t="shared" si="18"/>
        <v>-2.9678861867137143</v>
      </c>
      <c r="T97" s="6">
        <f t="shared" si="19"/>
        <v>-2.9678861867137143</v>
      </c>
      <c r="U97" s="6">
        <f t="shared" si="20"/>
        <v>5.7704738109336251</v>
      </c>
      <c r="V97" s="6">
        <f t="shared" si="21"/>
        <v>5.7704738109336251</v>
      </c>
      <c r="W97" s="6">
        <f t="shared" si="22"/>
        <v>-8.3829027865888719</v>
      </c>
      <c r="X97" s="6">
        <f t="shared" si="23"/>
        <v>10.177004821265946</v>
      </c>
      <c r="Y97" s="6">
        <f t="shared" si="24"/>
        <v>1.1646306199929721</v>
      </c>
    </row>
    <row r="98" ht="14.25">
      <c r="A98">
        <v>62</v>
      </c>
      <c r="B98">
        <f t="shared" si="6"/>
        <v>18.600000000000001</v>
      </c>
      <c r="E98">
        <f t="shared" si="7"/>
        <v>0.98580000000000001</v>
      </c>
      <c r="F98">
        <f t="shared" si="8"/>
        <v>0.98580000000000001</v>
      </c>
      <c r="G98">
        <f t="shared" si="9"/>
        <v>3.0937162874866599</v>
      </c>
      <c r="H98">
        <f t="shared" si="10"/>
        <v>3.0937162874866599</v>
      </c>
      <c r="I98">
        <f t="shared" si="11"/>
        <v>0.14887971708367909</v>
      </c>
      <c r="J98">
        <f t="shared" si="12"/>
        <v>3.0972965046341878</v>
      </c>
      <c r="K98" s="5">
        <f t="shared" si="13"/>
        <v>0.17999999999999999</v>
      </c>
      <c r="N98" s="5">
        <f t="shared" si="14"/>
        <v>111.59999999999999</v>
      </c>
      <c r="O98" s="5">
        <f t="shared" si="15"/>
        <v>131.09848451024345</v>
      </c>
      <c r="P98" s="6">
        <f t="shared" si="16"/>
        <v>-51.905561928539598</v>
      </c>
      <c r="Q98" s="6"/>
      <c r="R98" s="6">
        <f t="shared" si="17"/>
        <v>8.2036001034173847</v>
      </c>
      <c r="S98" s="6">
        <f t="shared" si="18"/>
        <v>-2.7509947822125986</v>
      </c>
      <c r="T98" s="6">
        <f t="shared" si="19"/>
        <v>-2.7509947822125986</v>
      </c>
      <c r="U98" s="6">
        <f t="shared" si="20"/>
        <v>6.031559224709186</v>
      </c>
      <c r="V98" s="6">
        <f t="shared" si="21"/>
        <v>6.031559224709186</v>
      </c>
      <c r="W98" s="6">
        <f t="shared" si="22"/>
        <v>-8.236943819523292</v>
      </c>
      <c r="X98" s="6">
        <f t="shared" si="23"/>
        <v>10.209160110761191</v>
      </c>
      <c r="Y98" s="6">
        <f t="shared" si="24"/>
        <v>1.179886360592191</v>
      </c>
    </row>
    <row r="99" ht="14.25">
      <c r="A99">
        <v>61</v>
      </c>
      <c r="B99">
        <f t="shared" si="6"/>
        <v>18.300000000000001</v>
      </c>
      <c r="E99">
        <f t="shared" si="7"/>
        <v>0.96989999999999998</v>
      </c>
      <c r="F99">
        <f t="shared" si="8"/>
        <v>0.96989999999999998</v>
      </c>
      <c r="G99">
        <f t="shared" si="9"/>
        <v>3.081162483242915</v>
      </c>
      <c r="H99">
        <f t="shared" si="10"/>
        <v>3.081162483242915</v>
      </c>
      <c r="I99">
        <f t="shared" si="11"/>
        <v>0.13297971708367906</v>
      </c>
      <c r="J99">
        <f t="shared" si="12"/>
        <v>3.0840307802126916</v>
      </c>
      <c r="K99" s="5">
        <f t="shared" si="13"/>
        <v>0.17999999999999999</v>
      </c>
      <c r="N99" s="5">
        <f t="shared" si="14"/>
        <v>109.8</v>
      </c>
      <c r="O99" s="5">
        <f t="shared" si="15"/>
        <v>132.66418842254578</v>
      </c>
      <c r="P99" s="6">
        <f t="shared" si="16"/>
        <v>-47.762046754586081</v>
      </c>
      <c r="Q99" s="6"/>
      <c r="R99" s="6">
        <f t="shared" si="17"/>
        <v>8.286582410769407</v>
      </c>
      <c r="S99" s="6">
        <f t="shared" si="18"/>
        <v>-2.5313884779930622</v>
      </c>
      <c r="T99" s="6">
        <f t="shared" si="19"/>
        <v>-2.5313884779930622</v>
      </c>
      <c r="U99" s="6">
        <f t="shared" si="20"/>
        <v>6.2879311266438709</v>
      </c>
      <c r="V99" s="6">
        <f t="shared" si="21"/>
        <v>6.2879311266438709</v>
      </c>
      <c r="W99" s="6">
        <f t="shared" si="22"/>
        <v>-8.0828559833661178</v>
      </c>
      <c r="X99" s="6">
        <f t="shared" si="23"/>
        <v>10.240636635544409</v>
      </c>
      <c r="Y99" s="6">
        <f t="shared" si="24"/>
        <v>1.193977695802912</v>
      </c>
    </row>
    <row r="100" ht="14.25">
      <c r="A100">
        <v>60</v>
      </c>
      <c r="B100">
        <f t="shared" ref="B100:B163" si="25">$B$27*A100/100</f>
        <v>18</v>
      </c>
      <c r="E100">
        <f t="shared" ref="E100:E163" si="26">B100*$B$7</f>
        <v>0.95399999999999996</v>
      </c>
      <c r="F100">
        <f t="shared" ref="F100:F163" si="27">E100</f>
        <v>0.95399999999999996</v>
      </c>
      <c r="G100">
        <f t="shared" ref="G100:G163" si="28">$D$60+B100*$B$8*$B$14</f>
        <v>3.0686086789991704</v>
      </c>
      <c r="H100">
        <f t="shared" ref="H100:H163" si="29">G100</f>
        <v>3.0686086789991704</v>
      </c>
      <c r="I100">
        <f t="shared" ref="I100:I163" si="30">E100-$B$26*$B$14*$B$9</f>
        <v>0.11707971708367904</v>
      </c>
      <c r="J100">
        <f t="shared" ref="J100:J163" si="31">SQRT(I100*I100+H100*H100)</f>
        <v>3.0708413969108577</v>
      </c>
      <c r="K100" s="5">
        <f t="shared" ref="K100:K163" si="32">1.5*$B$13*($B$26*$B$6+$B$26*B100*($B$8-$B$9))</f>
        <v>0.17999999999999999</v>
      </c>
      <c r="N100" s="5">
        <f t="shared" ref="N100:N163" si="33">180*A100/100</f>
        <v>108</v>
      </c>
      <c r="O100" s="5">
        <f t="shared" ref="O100:O163" si="34">$B$31*SIN(N100/180*PI())</f>
        <v>134.09896879761666</v>
      </c>
      <c r="P100" s="6">
        <f t="shared" ref="P100:P163" si="35">$B$31*COS(N100/180*PI())</f>
        <v>-43.571396206867576</v>
      </c>
      <c r="Q100" s="6"/>
      <c r="R100" s="6">
        <f t="shared" ref="R100:R163" si="36">$Q$60+O100*$B$7</f>
        <v>8.3626257706481653</v>
      </c>
      <c r="S100" s="6">
        <f t="shared" ref="S100:S163" si="37">P100*$B$7</f>
        <v>-2.3092839989639815</v>
      </c>
      <c r="T100" s="6">
        <f t="shared" ref="T100:T163" si="38">S100</f>
        <v>-2.3092839989639815</v>
      </c>
      <c r="U100" s="6">
        <f t="shared" ref="U100:U163" si="39">R100+P100*$B$8*$B$14</f>
        <v>6.5393365086226289</v>
      </c>
      <c r="V100" s="6">
        <f t="shared" ref="V100:V163" si="40">U100</f>
        <v>6.5393365086226289</v>
      </c>
      <c r="W100" s="6">
        <f t="shared" ref="W100:W163" si="41">S100-O100*$B$14*$B$9</f>
        <v>-7.9207913442083928</v>
      </c>
      <c r="X100" s="6">
        <f t="shared" ref="X100:X163" si="42">SQRT(W100*W100+V100*V100)</f>
        <v>10.271409712960114</v>
      </c>
      <c r="Y100" s="6">
        <f t="shared" ref="Y100:Y163" si="43">1.5*$B$13*(O100*$B$6+O100*P100*($B$8-$B$9))</f>
        <v>1.2068907191785501</v>
      </c>
    </row>
    <row r="101" ht="14.25">
      <c r="A101">
        <v>59</v>
      </c>
      <c r="B101">
        <f t="shared" si="25"/>
        <v>17.699999999999999</v>
      </c>
      <c r="E101">
        <f t="shared" si="26"/>
        <v>0.93809999999999993</v>
      </c>
      <c r="F101">
        <f t="shared" si="27"/>
        <v>0.93809999999999993</v>
      </c>
      <c r="G101">
        <f t="shared" si="28"/>
        <v>3.0560548747554255</v>
      </c>
      <c r="H101">
        <f t="shared" si="29"/>
        <v>3.0560548747554255</v>
      </c>
      <c r="I101">
        <f t="shared" si="30"/>
        <v>0.10117971708367901</v>
      </c>
      <c r="J101">
        <f t="shared" si="31"/>
        <v>3.0577293426112018</v>
      </c>
      <c r="K101" s="5">
        <f t="shared" si="32"/>
        <v>0.17999999999999999</v>
      </c>
      <c r="N101" s="5">
        <f t="shared" si="33"/>
        <v>106.2</v>
      </c>
      <c r="O101" s="5">
        <f t="shared" si="34"/>
        <v>135.40140968044898</v>
      </c>
      <c r="P101" s="6">
        <f t="shared" si="35"/>
        <v>-39.337745951531311</v>
      </c>
      <c r="Q101" s="6"/>
      <c r="R101" s="6">
        <f t="shared" si="36"/>
        <v>8.4316551374382769</v>
      </c>
      <c r="S101" s="6">
        <f t="shared" si="37"/>
        <v>-2.0849005354311596</v>
      </c>
      <c r="T101" s="6">
        <f t="shared" si="38"/>
        <v>-2.0849005354311596</v>
      </c>
      <c r="U101" s="6">
        <f t="shared" si="39"/>
        <v>6.7855272638859798</v>
      </c>
      <c r="V101" s="6">
        <f t="shared" si="40"/>
        <v>6.7855272638859798</v>
      </c>
      <c r="W101" s="6">
        <f t="shared" si="41"/>
        <v>-7.7509098402826613</v>
      </c>
      <c r="X101" s="6">
        <f t="shared" si="42"/>
        <v>10.301455411791604</v>
      </c>
      <c r="Y101" s="6">
        <f t="shared" si="43"/>
        <v>1.2186126871240408</v>
      </c>
    </row>
    <row r="102" ht="14.25">
      <c r="A102">
        <v>58</v>
      </c>
      <c r="B102">
        <f t="shared" si="25"/>
        <v>17.399999999999999</v>
      </c>
      <c r="E102">
        <f t="shared" si="26"/>
        <v>0.92219999999999991</v>
      </c>
      <c r="F102">
        <f t="shared" si="27"/>
        <v>0.92219999999999991</v>
      </c>
      <c r="G102">
        <f t="shared" si="28"/>
        <v>3.043501070511681</v>
      </c>
      <c r="H102">
        <f t="shared" si="29"/>
        <v>3.043501070511681</v>
      </c>
      <c r="I102">
        <f t="shared" si="30"/>
        <v>0.085279717083678985</v>
      </c>
      <c r="J102">
        <f t="shared" si="31"/>
        <v>3.0446956163714658</v>
      </c>
      <c r="K102" s="5">
        <f t="shared" si="32"/>
        <v>0.17999999999999999</v>
      </c>
      <c r="N102" s="5">
        <f t="shared" si="33"/>
        <v>104.40000000000001</v>
      </c>
      <c r="O102" s="5">
        <f t="shared" si="34"/>
        <v>136.57022571913697</v>
      </c>
      <c r="P102" s="6">
        <f t="shared" si="35"/>
        <v>-35.065274090244536</v>
      </c>
      <c r="Q102" s="6"/>
      <c r="R102" s="6">
        <f t="shared" si="36"/>
        <v>8.4936023874887407</v>
      </c>
      <c r="S102" s="6">
        <f t="shared" si="37"/>
        <v>-1.8584595267829604</v>
      </c>
      <c r="T102" s="6">
        <f t="shared" si="38"/>
        <v>-1.8584595267829604</v>
      </c>
      <c r="U102" s="6">
        <f t="shared" si="39"/>
        <v>7.0262604318814512</v>
      </c>
      <c r="V102" s="6">
        <f t="shared" si="40"/>
        <v>7.0262604318814512</v>
      </c>
      <c r="W102" s="6">
        <f t="shared" si="41"/>
        <v>-7.5733791241232566</v>
      </c>
      <c r="X102" s="6">
        <f t="shared" si="42"/>
        <v>10.330750554259302</v>
      </c>
      <c r="Y102" s="6">
        <f t="shared" si="43"/>
        <v>1.2291320314722327</v>
      </c>
    </row>
    <row r="103" ht="14.25">
      <c r="A103">
        <v>57</v>
      </c>
      <c r="B103">
        <f t="shared" si="25"/>
        <v>17.100000000000001</v>
      </c>
      <c r="E103">
        <f t="shared" si="26"/>
        <v>0.90629999999999999</v>
      </c>
      <c r="F103">
        <f t="shared" si="27"/>
        <v>0.90629999999999999</v>
      </c>
      <c r="G103">
        <f t="shared" si="28"/>
        <v>3.030947266267936</v>
      </c>
      <c r="H103">
        <f t="shared" si="29"/>
        <v>3.030947266267936</v>
      </c>
      <c r="I103">
        <f t="shared" si="30"/>
        <v>0.069379717083679071</v>
      </c>
      <c r="J103">
        <f t="shared" si="31"/>
        <v>3.0317412284097873</v>
      </c>
      <c r="K103" s="5">
        <f t="shared" si="32"/>
        <v>0.17999999999999999</v>
      </c>
      <c r="N103" s="5">
        <f t="shared" si="33"/>
        <v>102.59999999999999</v>
      </c>
      <c r="O103" s="5">
        <f t="shared" si="34"/>
        <v>137.6042634333634</v>
      </c>
      <c r="P103" s="6">
        <f t="shared" si="35"/>
        <v>-30.75819703691247</v>
      </c>
      <c r="Q103" s="6"/>
      <c r="R103" s="6">
        <f t="shared" si="36"/>
        <v>8.5484063863427409</v>
      </c>
      <c r="S103" s="6">
        <f t="shared" si="37"/>
        <v>-1.6301844429563608</v>
      </c>
      <c r="T103" s="6">
        <f t="shared" si="38"/>
        <v>-1.6301844429563608</v>
      </c>
      <c r="U103" s="6">
        <f t="shared" si="39"/>
        <v>7.2612984380363041</v>
      </c>
      <c r="V103" s="6">
        <f t="shared" si="40"/>
        <v>7.2612984380363041</v>
      </c>
      <c r="W103" s="6">
        <f t="shared" si="41"/>
        <v>-7.3883743971134823</v>
      </c>
      <c r="X103" s="6">
        <f t="shared" si="42"/>
        <v>10.359272717626006</v>
      </c>
      <c r="Y103" s="6">
        <f t="shared" si="43"/>
        <v>1.2384383709002706</v>
      </c>
    </row>
    <row r="104" ht="14.25">
      <c r="A104">
        <v>56</v>
      </c>
      <c r="B104">
        <f t="shared" si="25"/>
        <v>16.800000000000001</v>
      </c>
      <c r="E104">
        <f t="shared" si="26"/>
        <v>0.89039999999999997</v>
      </c>
      <c r="F104">
        <f t="shared" si="27"/>
        <v>0.89039999999999997</v>
      </c>
      <c r="G104">
        <f t="shared" si="28"/>
        <v>3.018393462024191</v>
      </c>
      <c r="H104">
        <f t="shared" si="29"/>
        <v>3.018393462024191</v>
      </c>
      <c r="I104">
        <f t="shared" si="30"/>
        <v>0.053479717083679046</v>
      </c>
      <c r="J104">
        <f t="shared" si="31"/>
        <v>3.0188672000818011</v>
      </c>
      <c r="K104" s="5">
        <f t="shared" si="32"/>
        <v>0.17999999999999999</v>
      </c>
      <c r="N104" s="5">
        <f t="shared" si="33"/>
        <v>100.8</v>
      </c>
      <c r="O104" s="5">
        <f t="shared" si="34"/>
        <v>138.5025023527451</v>
      </c>
      <c r="P104" s="6">
        <f t="shared" si="35"/>
        <v>-26.420765356587136</v>
      </c>
      <c r="Q104" s="6"/>
      <c r="R104" s="6">
        <f t="shared" si="36"/>
        <v>8.5960130490699722</v>
      </c>
      <c r="S104" s="6">
        <f t="shared" si="37"/>
        <v>-1.4003005638991182</v>
      </c>
      <c r="T104" s="6">
        <f t="shared" si="38"/>
        <v>-1.4003005638991182</v>
      </c>
      <c r="U104" s="6">
        <f t="shared" si="39"/>
        <v>7.4904093282149402</v>
      </c>
      <c r="V104" s="6">
        <f t="shared" si="40"/>
        <v>7.4904093282149402</v>
      </c>
      <c r="W104" s="6">
        <f t="shared" si="41"/>
        <v>-7.1960782365830092</v>
      </c>
      <c r="X104" s="6">
        <f t="shared" si="42"/>
        <v>10.387000235449744</v>
      </c>
      <c r="Y104" s="6">
        <f t="shared" si="43"/>
        <v>1.246522521174706</v>
      </c>
    </row>
    <row r="105" ht="14.25">
      <c r="A105">
        <v>55</v>
      </c>
      <c r="B105">
        <f t="shared" si="25"/>
        <v>16.5</v>
      </c>
      <c r="E105">
        <f t="shared" si="26"/>
        <v>0.87449999999999994</v>
      </c>
      <c r="F105">
        <f t="shared" si="27"/>
        <v>0.87449999999999994</v>
      </c>
      <c r="G105">
        <f t="shared" si="28"/>
        <v>3.005839657780446</v>
      </c>
      <c r="H105">
        <f t="shared" si="29"/>
        <v>3.005839657780446</v>
      </c>
      <c r="I105">
        <f t="shared" si="30"/>
        <v>0.037579717083679021</v>
      </c>
      <c r="J105">
        <f t="shared" si="31"/>
        <v>3.0060745638492996</v>
      </c>
      <c r="K105" s="5">
        <f t="shared" si="32"/>
        <v>0.17999999999999999</v>
      </c>
      <c r="N105" s="5">
        <f t="shared" si="33"/>
        <v>99</v>
      </c>
      <c r="O105" s="5">
        <f t="shared" si="34"/>
        <v>139.26405602391441</v>
      </c>
      <c r="P105" s="6">
        <f t="shared" si="35"/>
        <v>-22.057259570672574</v>
      </c>
      <c r="Q105" s="6"/>
      <c r="R105" s="6">
        <f t="shared" si="36"/>
        <v>8.636375393641945</v>
      </c>
      <c r="S105" s="6">
        <f t="shared" si="37"/>
        <v>-1.1690347572456463</v>
      </c>
      <c r="T105" s="6">
        <f t="shared" si="38"/>
        <v>-1.1690347572456463</v>
      </c>
      <c r="U105" s="6">
        <f t="shared" si="39"/>
        <v>7.7133669976296444</v>
      </c>
      <c r="V105" s="6">
        <f t="shared" si="40"/>
        <v>7.7133669976296444</v>
      </c>
      <c r="W105" s="6">
        <f t="shared" si="41"/>
        <v>-6.9966804156260869</v>
      </c>
      <c r="X105" s="6">
        <f t="shared" si="42"/>
        <v>10.413912198522118</v>
      </c>
      <c r="Y105" s="6">
        <f t="shared" si="43"/>
        <v>1.2533765042152298</v>
      </c>
    </row>
    <row r="106" ht="14.25">
      <c r="A106">
        <v>54</v>
      </c>
      <c r="B106">
        <f t="shared" si="25"/>
        <v>16.199999999999999</v>
      </c>
      <c r="E106">
        <f t="shared" si="26"/>
        <v>0.85859999999999992</v>
      </c>
      <c r="F106">
        <f t="shared" si="27"/>
        <v>0.85859999999999992</v>
      </c>
      <c r="G106">
        <f t="shared" si="28"/>
        <v>2.9932858535367015</v>
      </c>
      <c r="H106">
        <f t="shared" si="29"/>
        <v>2.9932858535367015</v>
      </c>
      <c r="I106">
        <f t="shared" si="30"/>
        <v>0.021679717083678995</v>
      </c>
      <c r="J106">
        <f t="shared" si="31"/>
        <v>2.9933643632400933</v>
      </c>
      <c r="K106" s="5">
        <f t="shared" si="32"/>
        <v>0.17999999999999999</v>
      </c>
      <c r="N106" s="5">
        <f t="shared" si="33"/>
        <v>97.200000000000003</v>
      </c>
      <c r="O106" s="5">
        <f t="shared" si="34"/>
        <v>139.88817288534136</v>
      </c>
      <c r="P106" s="6">
        <f t="shared" si="35"/>
        <v>-17.671985932566916</v>
      </c>
      <c r="Q106" s="6"/>
      <c r="R106" s="6">
        <f t="shared" si="36"/>
        <v>8.6694535872975731</v>
      </c>
      <c r="S106" s="6">
        <f t="shared" si="37"/>
        <v>-0.93661525442604654</v>
      </c>
      <c r="T106" s="6">
        <f t="shared" si="38"/>
        <v>-0.93661525442604654</v>
      </c>
      <c r="U106" s="6">
        <f t="shared" si="39"/>
        <v>7.9299514139787162</v>
      </c>
      <c r="V106" s="6">
        <f t="shared" si="40"/>
        <v>7.9299514139787162</v>
      </c>
      <c r="W106" s="6">
        <f t="shared" si="41"/>
        <v>-6.7903777158184013</v>
      </c>
      <c r="X106" s="6">
        <f t="shared" si="42"/>
        <v>10.439988455527438</v>
      </c>
      <c r="Y106" s="6">
        <f t="shared" si="43"/>
        <v>1.2589935559680723</v>
      </c>
    </row>
    <row r="107" ht="14.25">
      <c r="A107">
        <v>53</v>
      </c>
      <c r="B107">
        <f t="shared" si="25"/>
        <v>15.9</v>
      </c>
      <c r="E107">
        <f t="shared" si="26"/>
        <v>0.8427</v>
      </c>
      <c r="F107">
        <f t="shared" si="27"/>
        <v>0.8427</v>
      </c>
      <c r="G107">
        <f t="shared" si="28"/>
        <v>2.9807320492929565</v>
      </c>
      <c r="H107">
        <f t="shared" si="29"/>
        <v>2.9807320492929565</v>
      </c>
      <c r="I107">
        <f t="shared" si="30"/>
        <v>0.0057797170836790812</v>
      </c>
      <c r="J107">
        <f t="shared" si="31"/>
        <v>2.9807376527986755</v>
      </c>
      <c r="K107" s="5">
        <f t="shared" si="32"/>
        <v>0.17999999999999999</v>
      </c>
      <c r="N107" s="5">
        <f t="shared" si="33"/>
        <v>95.400000000000006</v>
      </c>
      <c r="O107" s="5">
        <f t="shared" si="34"/>
        <v>140.37423700903429</v>
      </c>
      <c r="P107" s="6">
        <f t="shared" si="35"/>
        <v>-13.269272177910528</v>
      </c>
      <c r="Q107" s="6"/>
      <c r="R107" s="6">
        <f t="shared" si="36"/>
        <v>8.6952149858532994</v>
      </c>
      <c r="S107" s="6">
        <f t="shared" si="37"/>
        <v>-0.70327142542925791</v>
      </c>
      <c r="T107" s="6">
        <f t="shared" si="38"/>
        <v>-0.70327142542925791</v>
      </c>
      <c r="U107" s="6">
        <f t="shared" si="39"/>
        <v>8.1399488345917721</v>
      </c>
      <c r="V107" s="6">
        <f t="shared" si="40"/>
        <v>8.1399488345917721</v>
      </c>
      <c r="W107" s="6">
        <f t="shared" si="41"/>
        <v>-6.5773737330174411</v>
      </c>
      <c r="X107" s="6">
        <f t="shared" si="42"/>
        <v>10.46520961345542</v>
      </c>
      <c r="Y107" s="6">
        <f t="shared" si="43"/>
        <v>1.2633681330813085</v>
      </c>
    </row>
    <row r="108" ht="14.25">
      <c r="A108">
        <v>52</v>
      </c>
      <c r="B108">
        <f t="shared" si="25"/>
        <v>15.6</v>
      </c>
      <c r="E108">
        <f t="shared" si="26"/>
        <v>0.82679999999999998</v>
      </c>
      <c r="F108">
        <f t="shared" si="27"/>
        <v>0.82679999999999998</v>
      </c>
      <c r="G108">
        <f t="shared" si="28"/>
        <v>2.968178245049212</v>
      </c>
      <c r="H108">
        <f t="shared" si="29"/>
        <v>2.968178245049212</v>
      </c>
      <c r="I108">
        <f t="shared" si="30"/>
        <v>-0.010120282916320944</v>
      </c>
      <c r="J108">
        <f t="shared" si="31"/>
        <v>2.9681954980273328</v>
      </c>
      <c r="K108" s="5">
        <f t="shared" si="32"/>
        <v>0.17999999999999999</v>
      </c>
      <c r="N108" s="5">
        <f t="shared" si="33"/>
        <v>93.599999999999994</v>
      </c>
      <c r="O108" s="5">
        <f t="shared" si="34"/>
        <v>140.72176870838629</v>
      </c>
      <c r="P108" s="6">
        <f t="shared" si="35"/>
        <v>-8.8534632536331888</v>
      </c>
      <c r="Q108" s="6"/>
      <c r="R108" s="6">
        <f t="shared" si="36"/>
        <v>8.713634165918954</v>
      </c>
      <c r="S108" s="6">
        <f t="shared" si="37"/>
        <v>-0.46923355244255899</v>
      </c>
      <c r="T108" s="6">
        <f t="shared" si="38"/>
        <v>-0.46923355244255899</v>
      </c>
      <c r="U108" s="6">
        <f t="shared" si="39"/>
        <v>8.3431520173679576</v>
      </c>
      <c r="V108" s="6">
        <f t="shared" si="40"/>
        <v>8.3431520173679576</v>
      </c>
      <c r="W108" s="6">
        <f t="shared" si="41"/>
        <v>-6.3578786764379451</v>
      </c>
      <c r="X108" s="6">
        <f t="shared" si="42"/>
        <v>10.489557037797894</v>
      </c>
      <c r="Y108" s="6">
        <f t="shared" si="43"/>
        <v>1.2664959183754767</v>
      </c>
    </row>
    <row r="109" ht="14.25">
      <c r="A109">
        <v>51</v>
      </c>
      <c r="B109">
        <f t="shared" si="25"/>
        <v>15.300000000000001</v>
      </c>
      <c r="E109">
        <f t="shared" si="26"/>
        <v>0.81090000000000007</v>
      </c>
      <c r="F109">
        <f t="shared" si="27"/>
        <v>0.81090000000000007</v>
      </c>
      <c r="G109">
        <f t="shared" si="28"/>
        <v>2.955624440805467</v>
      </c>
      <c r="H109">
        <f t="shared" si="29"/>
        <v>2.955624440805467</v>
      </c>
      <c r="I109">
        <f t="shared" si="30"/>
        <v>-0.026020282916320858</v>
      </c>
      <c r="J109">
        <f t="shared" si="31"/>
        <v>2.9557389753172854</v>
      </c>
      <c r="K109" s="5">
        <f t="shared" si="32"/>
        <v>0.17999999999999999</v>
      </c>
      <c r="N109" s="5">
        <f t="shared" si="33"/>
        <v>91.799999999999997</v>
      </c>
      <c r="O109" s="5">
        <f t="shared" si="34"/>
        <v>140.93042501156816</v>
      </c>
      <c r="P109" s="6">
        <f t="shared" si="35"/>
        <v>-4.4289170300160876</v>
      </c>
      <c r="Q109" s="6"/>
      <c r="R109" s="6">
        <f t="shared" si="36"/>
        <v>8.7246929499875936</v>
      </c>
      <c r="S109" s="6">
        <f t="shared" si="37"/>
        <v>-0.23473260259085263</v>
      </c>
      <c r="T109" s="6">
        <f t="shared" si="38"/>
        <v>-0.23473260259085263</v>
      </c>
      <c r="U109" s="6">
        <f t="shared" si="39"/>
        <v>8.5393604252988951</v>
      </c>
      <c r="V109" s="6">
        <f t="shared" si="40"/>
        <v>8.5393604252988951</v>
      </c>
      <c r="W109" s="6">
        <f t="shared" si="41"/>
        <v>-6.1321091612008019</v>
      </c>
      <c r="X109" s="6">
        <f t="shared" si="42"/>
        <v>10.513012852557717</v>
      </c>
      <c r="Y109" s="6">
        <f t="shared" si="43"/>
        <v>1.2683738251041135</v>
      </c>
    </row>
    <row r="110" ht="14.25">
      <c r="A110">
        <v>50</v>
      </c>
      <c r="B110">
        <f t="shared" si="25"/>
        <v>15</v>
      </c>
      <c r="E110">
        <f t="shared" si="26"/>
        <v>0.79499999999999993</v>
      </c>
      <c r="F110">
        <f t="shared" si="27"/>
        <v>0.79499999999999993</v>
      </c>
      <c r="G110">
        <f t="shared" si="28"/>
        <v>2.9430706365617221</v>
      </c>
      <c r="H110">
        <f t="shared" si="29"/>
        <v>2.9430706365617221</v>
      </c>
      <c r="I110">
        <f t="shared" si="30"/>
        <v>-0.041920282916320994</v>
      </c>
      <c r="J110">
        <f t="shared" si="31"/>
        <v>2.9433691718694757</v>
      </c>
      <c r="K110" s="5">
        <f t="shared" si="32"/>
        <v>0.17999999999999999</v>
      </c>
      <c r="N110" s="5">
        <f t="shared" si="33"/>
        <v>90</v>
      </c>
      <c r="O110" s="5">
        <f t="shared" si="34"/>
        <v>141</v>
      </c>
      <c r="P110" s="6">
        <f t="shared" si="35"/>
        <v>8.6337599339888406e-15</v>
      </c>
      <c r="Q110" s="6"/>
      <c r="R110" s="6">
        <f t="shared" si="36"/>
        <v>8.7283804243744818</v>
      </c>
      <c r="S110" s="6">
        <f t="shared" si="37"/>
        <v>4.5758927650140853e-16</v>
      </c>
      <c r="T110" s="6">
        <f t="shared" si="38"/>
        <v>4.5758927650140853e-16</v>
      </c>
      <c r="U110" s="6">
        <f t="shared" si="39"/>
        <v>8.7283804243744818</v>
      </c>
      <c r="V110" s="6">
        <f t="shared" si="40"/>
        <v>8.7283804243744818</v>
      </c>
      <c r="W110" s="6">
        <f t="shared" si="41"/>
        <v>-5.9002879945600606</v>
      </c>
      <c r="X110" s="6">
        <f t="shared" si="42"/>
        <v>10.535559940095887</v>
      </c>
      <c r="Y110" s="6">
        <f t="shared" si="43"/>
        <v>1.2689999999999999</v>
      </c>
    </row>
    <row r="111" ht="14.25">
      <c r="A111">
        <v>49</v>
      </c>
      <c r="B111">
        <f t="shared" si="25"/>
        <v>14.699999999999999</v>
      </c>
      <c r="E111">
        <f t="shared" si="26"/>
        <v>0.7790999999999999</v>
      </c>
      <c r="F111">
        <f t="shared" si="27"/>
        <v>0.7790999999999999</v>
      </c>
      <c r="G111">
        <f t="shared" si="28"/>
        <v>2.9305168323179771</v>
      </c>
      <c r="H111">
        <f t="shared" si="29"/>
        <v>2.9305168323179771</v>
      </c>
      <c r="I111">
        <f t="shared" si="30"/>
        <v>-0.05782028291632102</v>
      </c>
      <c r="J111">
        <f t="shared" si="31"/>
        <v>2.9310871856046035</v>
      </c>
      <c r="K111" s="5">
        <f t="shared" si="32"/>
        <v>0.17999999999999999</v>
      </c>
      <c r="N111" s="5">
        <f t="shared" si="33"/>
        <v>88.200000000000003</v>
      </c>
      <c r="O111" s="5">
        <f t="shared" si="34"/>
        <v>140.93042501156816</v>
      </c>
      <c r="P111" s="6">
        <f t="shared" si="35"/>
        <v>4.4289170300161036</v>
      </c>
      <c r="Q111" s="6"/>
      <c r="R111" s="6">
        <f t="shared" si="36"/>
        <v>8.7246929499875936</v>
      </c>
      <c r="S111" s="6">
        <f t="shared" si="37"/>
        <v>0.23473260259085349</v>
      </c>
      <c r="T111" s="6">
        <f t="shared" si="38"/>
        <v>0.23473260259085349</v>
      </c>
      <c r="U111" s="6">
        <f t="shared" si="39"/>
        <v>8.9100254746762939</v>
      </c>
      <c r="V111" s="6">
        <f t="shared" si="40"/>
        <v>8.9100254746762939</v>
      </c>
      <c r="W111" s="6">
        <f t="shared" si="41"/>
        <v>-5.6626439560190951</v>
      </c>
      <c r="X111" s="6">
        <f t="shared" si="42"/>
        <v>10.557181940841035</v>
      </c>
      <c r="Y111" s="6">
        <f t="shared" si="43"/>
        <v>1.2683738251041135</v>
      </c>
    </row>
    <row r="112" ht="14.25">
      <c r="A112">
        <v>48</v>
      </c>
      <c r="B112">
        <f t="shared" si="25"/>
        <v>14.4</v>
      </c>
      <c r="E112">
        <f t="shared" si="26"/>
        <v>0.76319999999999999</v>
      </c>
      <c r="F112">
        <f t="shared" si="27"/>
        <v>0.76319999999999999</v>
      </c>
      <c r="G112">
        <f t="shared" si="28"/>
        <v>2.9179630280742326</v>
      </c>
      <c r="H112">
        <f t="shared" si="29"/>
        <v>2.9179630280742326</v>
      </c>
      <c r="I112">
        <f t="shared" si="30"/>
        <v>-0.073720282916320934</v>
      </c>
      <c r="J112">
        <f t="shared" si="31"/>
        <v>2.9188941250619913</v>
      </c>
      <c r="K112" s="5">
        <f t="shared" si="32"/>
        <v>0.17999999999999999</v>
      </c>
      <c r="N112" s="5">
        <f t="shared" si="33"/>
        <v>86.400000000000006</v>
      </c>
      <c r="O112" s="5">
        <f t="shared" si="34"/>
        <v>140.72176870838629</v>
      </c>
      <c r="P112" s="6">
        <f t="shared" si="35"/>
        <v>8.8534632536331763</v>
      </c>
      <c r="Q112" s="6"/>
      <c r="R112" s="6">
        <f t="shared" si="36"/>
        <v>8.713634165918954</v>
      </c>
      <c r="S112" s="6">
        <f t="shared" si="37"/>
        <v>0.46923355244255832</v>
      </c>
      <c r="T112" s="6">
        <f t="shared" si="38"/>
        <v>0.46923355244255832</v>
      </c>
      <c r="U112" s="6">
        <f t="shared" si="39"/>
        <v>9.0841163144699504</v>
      </c>
      <c r="V112" s="6">
        <f t="shared" si="40"/>
        <v>9.0841163144699504</v>
      </c>
      <c r="W112" s="6">
        <f t="shared" si="41"/>
        <v>-5.4194115715528275</v>
      </c>
      <c r="X112" s="6">
        <f t="shared" si="42"/>
        <v>10.577863252883343</v>
      </c>
      <c r="Y112" s="6">
        <f t="shared" si="43"/>
        <v>1.2664959183754767</v>
      </c>
    </row>
    <row r="113" ht="14.25">
      <c r="A113">
        <v>47</v>
      </c>
      <c r="B113">
        <f t="shared" si="25"/>
        <v>14.1</v>
      </c>
      <c r="E113">
        <f t="shared" si="26"/>
        <v>0.74729999999999996</v>
      </c>
      <c r="F113">
        <f t="shared" si="27"/>
        <v>0.74729999999999996</v>
      </c>
      <c r="G113">
        <f t="shared" si="28"/>
        <v>2.9054092238304876</v>
      </c>
      <c r="H113">
        <f t="shared" si="29"/>
        <v>2.9054092238304876</v>
      </c>
      <c r="I113">
        <f t="shared" si="30"/>
        <v>-0.089620282916320959</v>
      </c>
      <c r="J113">
        <f t="shared" si="31"/>
        <v>2.9067911092868846</v>
      </c>
      <c r="K113" s="5">
        <f t="shared" si="32"/>
        <v>0.17999999999999999</v>
      </c>
      <c r="N113" s="5">
        <f t="shared" si="33"/>
        <v>84.599999999999994</v>
      </c>
      <c r="O113" s="5">
        <f t="shared" si="34"/>
        <v>140.37423700903429</v>
      </c>
      <c r="P113" s="6">
        <f t="shared" si="35"/>
        <v>13.269272177910546</v>
      </c>
      <c r="Q113" s="6"/>
      <c r="R113" s="6">
        <f t="shared" si="36"/>
        <v>8.6952149858532994</v>
      </c>
      <c r="S113" s="6">
        <f t="shared" si="37"/>
        <v>0.70327142542925891</v>
      </c>
      <c r="T113" s="6">
        <f t="shared" si="38"/>
        <v>0.70327142542925891</v>
      </c>
      <c r="U113" s="6">
        <f t="shared" si="39"/>
        <v>9.2504811371148268</v>
      </c>
      <c r="V113" s="6">
        <f t="shared" si="40"/>
        <v>9.2504811371148268</v>
      </c>
      <c r="W113" s="6">
        <f t="shared" si="41"/>
        <v>-5.1708308821589242</v>
      </c>
      <c r="X113" s="6">
        <f t="shared" si="42"/>
        <v>10.597589031473415</v>
      </c>
      <c r="Y113" s="6">
        <f t="shared" si="43"/>
        <v>1.2633681330813085</v>
      </c>
    </row>
    <row r="114" ht="14.25">
      <c r="A114">
        <v>46</v>
      </c>
      <c r="B114">
        <f t="shared" si="25"/>
        <v>13.800000000000001</v>
      </c>
      <c r="E114">
        <f t="shared" si="26"/>
        <v>0.73140000000000005</v>
      </c>
      <c r="F114">
        <f t="shared" si="27"/>
        <v>0.73140000000000005</v>
      </c>
      <c r="G114">
        <f t="shared" si="28"/>
        <v>2.8928554195867431</v>
      </c>
      <c r="H114">
        <f t="shared" si="29"/>
        <v>2.8928554195867431</v>
      </c>
      <c r="I114">
        <f t="shared" si="30"/>
        <v>-0.10552028291632087</v>
      </c>
      <c r="J114">
        <f t="shared" si="31"/>
        <v>2.8947792677057662</v>
      </c>
      <c r="K114" s="5">
        <f t="shared" si="32"/>
        <v>0.17999999999999999</v>
      </c>
      <c r="N114" s="5">
        <f t="shared" si="33"/>
        <v>82.799999999999997</v>
      </c>
      <c r="O114" s="5">
        <f t="shared" si="34"/>
        <v>139.88817288534136</v>
      </c>
      <c r="P114" s="6">
        <f t="shared" si="35"/>
        <v>17.671985932566933</v>
      </c>
      <c r="Q114" s="6"/>
      <c r="R114" s="6">
        <f t="shared" si="36"/>
        <v>8.6694535872975731</v>
      </c>
      <c r="S114" s="6">
        <f t="shared" si="37"/>
        <v>0.93661525442604743</v>
      </c>
      <c r="T114" s="6">
        <f t="shared" si="38"/>
        <v>0.93661525442604743</v>
      </c>
      <c r="U114" s="6">
        <f t="shared" si="39"/>
        <v>9.4089557606164309</v>
      </c>
      <c r="V114" s="6">
        <f t="shared" si="40"/>
        <v>9.4089557606164309</v>
      </c>
      <c r="W114" s="6">
        <f t="shared" si="41"/>
        <v>-4.917147206966308</v>
      </c>
      <c r="X114" s="6">
        <f t="shared" si="42"/>
        <v>10.616345188444736</v>
      </c>
      <c r="Y114" s="6">
        <f t="shared" si="43"/>
        <v>1.2589935559680723</v>
      </c>
    </row>
    <row r="115" ht="14.25">
      <c r="A115">
        <v>45</v>
      </c>
      <c r="B115">
        <f t="shared" si="25"/>
        <v>13.5</v>
      </c>
      <c r="E115">
        <f t="shared" si="26"/>
        <v>0.71550000000000002</v>
      </c>
      <c r="F115">
        <f t="shared" si="27"/>
        <v>0.71550000000000002</v>
      </c>
      <c r="G115">
        <f t="shared" si="28"/>
        <v>2.8803016153429981</v>
      </c>
      <c r="H115">
        <f t="shared" si="29"/>
        <v>2.8803016153429981</v>
      </c>
      <c r="I115">
        <f t="shared" si="30"/>
        <v>-0.1214202829163209</v>
      </c>
      <c r="J115">
        <f t="shared" si="31"/>
        <v>2.8828597399892635</v>
      </c>
      <c r="K115" s="5">
        <f t="shared" si="32"/>
        <v>0.17999999999999999</v>
      </c>
      <c r="N115" s="5">
        <f t="shared" si="33"/>
        <v>81</v>
      </c>
      <c r="O115" s="5">
        <f t="shared" si="34"/>
        <v>139.26405602391443</v>
      </c>
      <c r="P115" s="6">
        <f t="shared" si="35"/>
        <v>22.05725957067256</v>
      </c>
      <c r="Q115" s="6"/>
      <c r="R115" s="6">
        <f t="shared" si="36"/>
        <v>8.6363753936419467</v>
      </c>
      <c r="S115" s="6">
        <f t="shared" si="37"/>
        <v>1.1690347572456457</v>
      </c>
      <c r="T115" s="6">
        <f t="shared" si="38"/>
        <v>1.1690347572456457</v>
      </c>
      <c r="U115" s="6">
        <f t="shared" si="39"/>
        <v>9.5593837896542464</v>
      </c>
      <c r="V115" s="6">
        <f t="shared" si="40"/>
        <v>9.5593837896542464</v>
      </c>
      <c r="W115" s="6">
        <f t="shared" si="41"/>
        <v>-4.6586109011347965</v>
      </c>
      <c r="X115" s="6">
        <f t="shared" si="42"/>
        <v>10.634118391577006</v>
      </c>
      <c r="Y115" s="6">
        <f t="shared" si="43"/>
        <v>1.2533765042152298</v>
      </c>
    </row>
    <row r="116" ht="14.25">
      <c r="A116">
        <v>44</v>
      </c>
      <c r="B116">
        <f t="shared" si="25"/>
        <v>13.199999999999999</v>
      </c>
      <c r="E116">
        <f t="shared" si="26"/>
        <v>0.69959999999999989</v>
      </c>
      <c r="F116">
        <f t="shared" si="27"/>
        <v>0.69959999999999989</v>
      </c>
      <c r="G116">
        <f t="shared" si="28"/>
        <v>2.8677478110992531</v>
      </c>
      <c r="H116">
        <f t="shared" si="29"/>
        <v>2.8677478110992531</v>
      </c>
      <c r="I116">
        <f t="shared" si="30"/>
        <v>-0.13732028291632103</v>
      </c>
      <c r="J116">
        <f t="shared" si="31"/>
        <v>2.8710336759022481</v>
      </c>
      <c r="K116" s="5">
        <f t="shared" si="32"/>
        <v>0.17999999999999999</v>
      </c>
      <c r="N116" s="5">
        <f t="shared" si="33"/>
        <v>79.200000000000003</v>
      </c>
      <c r="O116" s="5">
        <f t="shared" si="34"/>
        <v>138.5025023527451</v>
      </c>
      <c r="P116" s="6">
        <f t="shared" si="35"/>
        <v>26.420765356587189</v>
      </c>
      <c r="Q116" s="6"/>
      <c r="R116" s="6">
        <f t="shared" si="36"/>
        <v>8.5960130490699722</v>
      </c>
      <c r="S116" s="6">
        <f t="shared" si="37"/>
        <v>1.4003005638991211</v>
      </c>
      <c r="T116" s="6">
        <f t="shared" si="38"/>
        <v>1.4003005638991211</v>
      </c>
      <c r="U116" s="6">
        <f t="shared" si="39"/>
        <v>9.7016167699250069</v>
      </c>
      <c r="V116" s="6">
        <f t="shared" si="40"/>
        <v>9.7016167699250069</v>
      </c>
      <c r="W116" s="6">
        <f t="shared" si="41"/>
        <v>-4.3954771087847702</v>
      </c>
      <c r="X116" s="6">
        <f t="shared" si="42"/>
        <v>10.650896063915987</v>
      </c>
      <c r="Y116" s="6">
        <f t="shared" si="43"/>
        <v>1.246522521174706</v>
      </c>
    </row>
    <row r="117" ht="14.25">
      <c r="A117">
        <v>43</v>
      </c>
      <c r="B117">
        <f t="shared" si="25"/>
        <v>12.9</v>
      </c>
      <c r="E117">
        <f t="shared" si="26"/>
        <v>0.68369999999999997</v>
      </c>
      <c r="F117">
        <f t="shared" si="27"/>
        <v>0.68369999999999997</v>
      </c>
      <c r="G117">
        <f t="shared" si="28"/>
        <v>2.8551940068555086</v>
      </c>
      <c r="H117">
        <f t="shared" si="29"/>
        <v>2.8551940068555086</v>
      </c>
      <c r="I117">
        <f t="shared" si="30"/>
        <v>-0.15322028291632095</v>
      </c>
      <c r="J117">
        <f t="shared" si="31"/>
        <v>2.8593022351406949</v>
      </c>
      <c r="K117" s="5">
        <f t="shared" si="32"/>
        <v>0.17999999999999999</v>
      </c>
      <c r="N117" s="5">
        <f t="shared" si="33"/>
        <v>77.400000000000006</v>
      </c>
      <c r="O117" s="5">
        <f t="shared" si="34"/>
        <v>137.6042634333634</v>
      </c>
      <c r="P117" s="6">
        <f t="shared" si="35"/>
        <v>30.758197036912488</v>
      </c>
      <c r="Q117" s="6"/>
      <c r="R117" s="6">
        <f t="shared" si="36"/>
        <v>8.5484063863427409</v>
      </c>
      <c r="S117" s="6">
        <f t="shared" si="37"/>
        <v>1.6301844429563619</v>
      </c>
      <c r="T117" s="6">
        <f t="shared" si="38"/>
        <v>1.6301844429563619</v>
      </c>
      <c r="U117" s="6">
        <f t="shared" si="39"/>
        <v>9.8355143346491776</v>
      </c>
      <c r="V117" s="6">
        <f t="shared" si="40"/>
        <v>9.8355143346491776</v>
      </c>
      <c r="W117" s="6">
        <f t="shared" si="41"/>
        <v>-4.1280055112007599</v>
      </c>
      <c r="X117" s="6">
        <f t="shared" si="42"/>
        <v>10.666666383064266</v>
      </c>
      <c r="Y117" s="6">
        <f t="shared" si="43"/>
        <v>1.2384383709002706</v>
      </c>
    </row>
    <row r="118" ht="14.25">
      <c r="A118">
        <v>42</v>
      </c>
      <c r="B118">
        <f t="shared" si="25"/>
        <v>12.6</v>
      </c>
      <c r="E118">
        <f t="shared" si="26"/>
        <v>0.66779999999999995</v>
      </c>
      <c r="F118">
        <f t="shared" si="27"/>
        <v>0.66779999999999995</v>
      </c>
      <c r="G118">
        <f t="shared" si="28"/>
        <v>2.8426402026117636</v>
      </c>
      <c r="H118">
        <f t="shared" si="29"/>
        <v>2.8426402026117636</v>
      </c>
      <c r="I118">
        <f t="shared" si="30"/>
        <v>-0.16912028291632097</v>
      </c>
      <c r="J118">
        <f t="shared" si="31"/>
        <v>2.8476665871548841</v>
      </c>
      <c r="K118" s="5">
        <f t="shared" si="32"/>
        <v>0.17999999999999999</v>
      </c>
      <c r="N118" s="5">
        <f t="shared" si="33"/>
        <v>75.599999999999994</v>
      </c>
      <c r="O118" s="5">
        <f t="shared" si="34"/>
        <v>136.57022571913697</v>
      </c>
      <c r="P118" s="6">
        <f t="shared" si="35"/>
        <v>35.06527409024455</v>
      </c>
      <c r="Q118" s="6"/>
      <c r="R118" s="6">
        <f t="shared" si="36"/>
        <v>8.4936023874887407</v>
      </c>
      <c r="S118" s="6">
        <f t="shared" si="37"/>
        <v>1.8584595267829611</v>
      </c>
      <c r="T118" s="6">
        <f t="shared" si="38"/>
        <v>1.8584595267829611</v>
      </c>
      <c r="U118" s="6">
        <f t="shared" si="39"/>
        <v>9.9609443430960312</v>
      </c>
      <c r="V118" s="6">
        <f t="shared" si="40"/>
        <v>9.9609443430960312</v>
      </c>
      <c r="W118" s="6">
        <f t="shared" si="41"/>
        <v>-3.8564600705573353</v>
      </c>
      <c r="X118" s="6">
        <f t="shared" si="42"/>
        <v>10.681418280456013</v>
      </c>
      <c r="Y118" s="6">
        <f t="shared" si="43"/>
        <v>1.2291320314722327</v>
      </c>
    </row>
    <row r="119" ht="14.25">
      <c r="A119">
        <v>41</v>
      </c>
      <c r="B119">
        <f t="shared" si="25"/>
        <v>12.300000000000001</v>
      </c>
      <c r="E119">
        <f t="shared" si="26"/>
        <v>0.65190000000000003</v>
      </c>
      <c r="F119">
        <f t="shared" si="27"/>
        <v>0.65190000000000003</v>
      </c>
      <c r="G119">
        <f t="shared" si="28"/>
        <v>2.8300863983680191</v>
      </c>
      <c r="H119">
        <f t="shared" si="29"/>
        <v>2.8300863983680191</v>
      </c>
      <c r="I119">
        <f t="shared" si="30"/>
        <v>-0.18502028291632089</v>
      </c>
      <c r="J119">
        <f t="shared" si="31"/>
        <v>2.8361279109585484</v>
      </c>
      <c r="K119" s="5">
        <f t="shared" si="32"/>
        <v>0.17999999999999999</v>
      </c>
      <c r="N119" s="5">
        <f t="shared" si="33"/>
        <v>73.799999999999997</v>
      </c>
      <c r="O119" s="5">
        <f t="shared" si="34"/>
        <v>135.40140968044895</v>
      </c>
      <c r="P119" s="6">
        <f t="shared" si="35"/>
        <v>39.33774595153136</v>
      </c>
      <c r="Q119" s="6"/>
      <c r="R119" s="6">
        <f t="shared" si="36"/>
        <v>8.4316551374382751</v>
      </c>
      <c r="S119" s="6">
        <f t="shared" si="37"/>
        <v>2.0849005354311618</v>
      </c>
      <c r="T119" s="6">
        <f t="shared" si="38"/>
        <v>2.0849005354311618</v>
      </c>
      <c r="U119" s="6">
        <f t="shared" si="39"/>
        <v>10.077783010990574</v>
      </c>
      <c r="V119" s="6">
        <f t="shared" si="40"/>
        <v>10.077783010990574</v>
      </c>
      <c r="W119" s="6">
        <f t="shared" si="41"/>
        <v>-3.5811087694203385</v>
      </c>
      <c r="X119" s="6">
        <f t="shared" si="42"/>
        <v>10.695141440627586</v>
      </c>
      <c r="Y119" s="6">
        <f t="shared" si="43"/>
        <v>1.2186126871240406</v>
      </c>
    </row>
    <row r="120" ht="14.25">
      <c r="A120">
        <v>40</v>
      </c>
      <c r="B120">
        <f t="shared" si="25"/>
        <v>12</v>
      </c>
      <c r="E120">
        <f t="shared" si="26"/>
        <v>0.63600000000000001</v>
      </c>
      <c r="F120">
        <f t="shared" si="27"/>
        <v>0.63600000000000001</v>
      </c>
      <c r="G120">
        <f t="shared" si="28"/>
        <v>2.8175325941242741</v>
      </c>
      <c r="H120">
        <f t="shared" si="29"/>
        <v>2.8175325941242741</v>
      </c>
      <c r="I120">
        <f t="shared" si="30"/>
        <v>-0.20092028291632091</v>
      </c>
      <c r="J120">
        <f t="shared" si="31"/>
        <v>2.8246873949235227</v>
      </c>
      <c r="K120" s="5">
        <f t="shared" si="32"/>
        <v>0.17999999999999999</v>
      </c>
      <c r="N120" s="5">
        <f t="shared" si="33"/>
        <v>72</v>
      </c>
      <c r="O120" s="5">
        <f t="shared" si="34"/>
        <v>134.09896879761664</v>
      </c>
      <c r="P120" s="6">
        <f t="shared" si="35"/>
        <v>43.57139620686759</v>
      </c>
      <c r="Q120" s="6"/>
      <c r="R120" s="6">
        <f t="shared" si="36"/>
        <v>8.3626257706481635</v>
      </c>
      <c r="S120" s="6">
        <f t="shared" si="37"/>
        <v>2.3092839989639824</v>
      </c>
      <c r="T120" s="6">
        <f t="shared" si="38"/>
        <v>2.3092839989639824</v>
      </c>
      <c r="U120" s="6">
        <f t="shared" si="39"/>
        <v>10.1859150326737</v>
      </c>
      <c r="V120" s="6">
        <f t="shared" si="40"/>
        <v>10.1859150326737</v>
      </c>
      <c r="W120" s="6">
        <f t="shared" si="41"/>
        <v>-3.302223346280428</v>
      </c>
      <c r="X120" s="6">
        <f t="shared" si="42"/>
        <v>10.707826300494773</v>
      </c>
      <c r="Y120" s="6">
        <f t="shared" si="43"/>
        <v>1.2068907191785498</v>
      </c>
    </row>
    <row r="121" ht="14.25">
      <c r="A121">
        <v>39</v>
      </c>
      <c r="B121">
        <f t="shared" si="25"/>
        <v>11.699999999999999</v>
      </c>
      <c r="E121">
        <f t="shared" si="26"/>
        <v>0.62009999999999998</v>
      </c>
      <c r="F121">
        <f t="shared" si="27"/>
        <v>0.62009999999999998</v>
      </c>
      <c r="G121">
        <f t="shared" si="28"/>
        <v>2.8049787898805292</v>
      </c>
      <c r="H121">
        <f t="shared" si="29"/>
        <v>2.8049787898805292</v>
      </c>
      <c r="I121">
        <f t="shared" si="30"/>
        <v>-0.21682028291632094</v>
      </c>
      <c r="J121">
        <f t="shared" si="31"/>
        <v>2.8133462365595086</v>
      </c>
      <c r="K121" s="5">
        <f t="shared" si="32"/>
        <v>0.17999999999999999</v>
      </c>
      <c r="N121" s="5">
        <f t="shared" si="33"/>
        <v>70.200000000000003</v>
      </c>
      <c r="O121" s="5">
        <f t="shared" si="34"/>
        <v>132.66418842254578</v>
      </c>
      <c r="P121" s="6">
        <f t="shared" si="35"/>
        <v>47.762046754586102</v>
      </c>
      <c r="Q121" s="6"/>
      <c r="R121" s="6">
        <f t="shared" si="36"/>
        <v>8.286582410769407</v>
      </c>
      <c r="S121" s="6">
        <f t="shared" si="37"/>
        <v>2.5313884779930635</v>
      </c>
      <c r="T121" s="6">
        <f t="shared" si="38"/>
        <v>2.5313884779930635</v>
      </c>
      <c r="U121" s="6">
        <f t="shared" si="39"/>
        <v>10.285233694894945</v>
      </c>
      <c r="V121" s="6">
        <f t="shared" si="40"/>
        <v>10.285233694894945</v>
      </c>
      <c r="W121" s="6">
        <f t="shared" si="41"/>
        <v>-3.0200790273799925</v>
      </c>
      <c r="X121" s="6">
        <f t="shared" si="42"/>
        <v>10.719464048646406</v>
      </c>
      <c r="Y121" s="6">
        <f t="shared" si="43"/>
        <v>1.193977695802912</v>
      </c>
    </row>
    <row r="122" ht="14.25">
      <c r="A122">
        <v>38</v>
      </c>
      <c r="B122">
        <f t="shared" si="25"/>
        <v>11.4</v>
      </c>
      <c r="E122">
        <f t="shared" si="26"/>
        <v>0.60419999999999996</v>
      </c>
      <c r="F122">
        <f t="shared" si="27"/>
        <v>0.60419999999999996</v>
      </c>
      <c r="G122">
        <f t="shared" si="28"/>
        <v>2.7924249856367847</v>
      </c>
      <c r="H122">
        <f t="shared" si="29"/>
        <v>2.7924249856367847</v>
      </c>
      <c r="I122">
        <f t="shared" si="30"/>
        <v>-0.23272028291632096</v>
      </c>
      <c r="J122">
        <f t="shared" si="31"/>
        <v>2.8021056422785433</v>
      </c>
      <c r="K122" s="5">
        <f t="shared" si="32"/>
        <v>0.17999999999999999</v>
      </c>
      <c r="N122" s="5">
        <f t="shared" si="33"/>
        <v>68.400000000000006</v>
      </c>
      <c r="O122" s="5">
        <f t="shared" si="34"/>
        <v>131.09848451024345</v>
      </c>
      <c r="P122" s="6">
        <f t="shared" si="35"/>
        <v>51.905561928539612</v>
      </c>
      <c r="Q122" s="6"/>
      <c r="R122" s="6">
        <f t="shared" si="36"/>
        <v>8.2036001034173847</v>
      </c>
      <c r="S122" s="6">
        <f t="shared" si="37"/>
        <v>2.7509947822125995</v>
      </c>
      <c r="T122" s="6">
        <f t="shared" si="38"/>
        <v>2.7509947822125995</v>
      </c>
      <c r="U122" s="6">
        <f t="shared" si="39"/>
        <v>10.375640982125585</v>
      </c>
      <c r="V122" s="6">
        <f t="shared" si="40"/>
        <v>10.375640982125585</v>
      </c>
      <c r="W122" s="6">
        <f t="shared" si="41"/>
        <v>-2.7349542550980934</v>
      </c>
      <c r="X122" s="6">
        <f t="shared" si="42"/>
        <v>10.730046624663061</v>
      </c>
      <c r="Y122" s="6">
        <f t="shared" si="43"/>
        <v>1.179886360592191</v>
      </c>
    </row>
    <row r="123" ht="14.25">
      <c r="A123">
        <v>37</v>
      </c>
      <c r="B123">
        <f t="shared" si="25"/>
        <v>11.1</v>
      </c>
      <c r="E123">
        <f t="shared" si="26"/>
        <v>0.58829999999999993</v>
      </c>
      <c r="F123">
        <f t="shared" si="27"/>
        <v>0.58829999999999993</v>
      </c>
      <c r="G123">
        <f t="shared" si="28"/>
        <v>2.7798711813930397</v>
      </c>
      <c r="H123">
        <f t="shared" si="29"/>
        <v>2.7798711813930397</v>
      </c>
      <c r="I123">
        <f t="shared" si="30"/>
        <v>-0.24862028291632099</v>
      </c>
      <c r="J123">
        <f t="shared" si="31"/>
        <v>2.7909668271437633</v>
      </c>
      <c r="K123" s="5">
        <f t="shared" si="32"/>
        <v>0.17999999999999999</v>
      </c>
      <c r="N123" s="5">
        <f t="shared" si="33"/>
        <v>66.599999999999994</v>
      </c>
      <c r="O123" s="5">
        <f t="shared" si="34"/>
        <v>129.40340222144135</v>
      </c>
      <c r="P123" s="6">
        <f t="shared" si="35"/>
        <v>55.997852579504062</v>
      </c>
      <c r="Q123" s="6"/>
      <c r="R123" s="6">
        <f t="shared" si="36"/>
        <v>8.1137607421108733</v>
      </c>
      <c r="S123" s="6">
        <f t="shared" si="37"/>
        <v>2.9678861867137152</v>
      </c>
      <c r="T123" s="6">
        <f t="shared" si="38"/>
        <v>2.9678861867137152</v>
      </c>
      <c r="U123" s="6">
        <f t="shared" si="39"/>
        <v>10.457047673288121</v>
      </c>
      <c r="V123" s="6">
        <f t="shared" si="40"/>
        <v>10.457047673288121</v>
      </c>
      <c r="W123" s="6">
        <f t="shared" si="41"/>
        <v>-2.4471304131614429</v>
      </c>
      <c r="X123" s="6">
        <f t="shared" si="42"/>
        <v>10.739566718468684</v>
      </c>
      <c r="Y123" s="6">
        <f t="shared" si="43"/>
        <v>1.1646306199929721</v>
      </c>
    </row>
    <row r="124" ht="14.25">
      <c r="A124">
        <v>36</v>
      </c>
      <c r="B124">
        <f t="shared" si="25"/>
        <v>10.800000000000001</v>
      </c>
      <c r="E124">
        <f t="shared" si="26"/>
        <v>0.57240000000000002</v>
      </c>
      <c r="F124">
        <f t="shared" si="27"/>
        <v>0.57240000000000002</v>
      </c>
      <c r="G124">
        <f t="shared" si="28"/>
        <v>2.7673173771492947</v>
      </c>
      <c r="H124">
        <f t="shared" si="29"/>
        <v>2.7673173771492947</v>
      </c>
      <c r="I124">
        <f t="shared" si="30"/>
        <v>-0.2645202829163209</v>
      </c>
      <c r="J124">
        <f t="shared" si="31"/>
        <v>2.7799310146020861</v>
      </c>
      <c r="K124" s="5">
        <f t="shared" si="32"/>
        <v>0.17999999999999999</v>
      </c>
      <c r="N124" s="5">
        <f t="shared" si="33"/>
        <v>64.799999999999997</v>
      </c>
      <c r="O124" s="5">
        <f t="shared" si="34"/>
        <v>127.58061439770876</v>
      </c>
      <c r="P124" s="6">
        <f t="shared" si="35"/>
        <v>60.034880110675246</v>
      </c>
      <c r="Q124" s="6"/>
      <c r="R124" s="6">
        <f t="shared" si="36"/>
        <v>8.0171529874530449</v>
      </c>
      <c r="S124" s="6">
        <f t="shared" si="37"/>
        <v>3.181848645865788</v>
      </c>
      <c r="T124" s="6">
        <f t="shared" si="38"/>
        <v>3.181848645865788</v>
      </c>
      <c r="U124" s="6">
        <f t="shared" si="39"/>
        <v>10.529373429806732</v>
      </c>
      <c r="V124" s="6">
        <f t="shared" si="40"/>
        <v>10.529373429806732</v>
      </c>
      <c r="W124" s="6">
        <f t="shared" si="41"/>
        <v>-2.1568915489526352</v>
      </c>
      <c r="X124" s="6">
        <f t="shared" si="42"/>
        <v>10.748017769722159</v>
      </c>
      <c r="Y124" s="6">
        <f t="shared" si="43"/>
        <v>1.1482255295793788</v>
      </c>
    </row>
    <row r="125" ht="14.25">
      <c r="A125">
        <v>35</v>
      </c>
      <c r="B125">
        <f t="shared" si="25"/>
        <v>10.5</v>
      </c>
      <c r="E125">
        <f t="shared" si="26"/>
        <v>0.55649999999999999</v>
      </c>
      <c r="F125">
        <f t="shared" si="27"/>
        <v>0.55649999999999999</v>
      </c>
      <c r="G125">
        <f t="shared" si="28"/>
        <v>2.7547635729055502</v>
      </c>
      <c r="H125">
        <f t="shared" si="29"/>
        <v>2.7547635729055502</v>
      </c>
      <c r="I125">
        <f t="shared" si="30"/>
        <v>-0.28042028291632093</v>
      </c>
      <c r="J125">
        <f t="shared" si="31"/>
        <v>2.7689994362004162</v>
      </c>
      <c r="K125" s="5">
        <f t="shared" si="32"/>
        <v>0.17999999999999999</v>
      </c>
      <c r="N125" s="5">
        <f t="shared" si="33"/>
        <v>63</v>
      </c>
      <c r="O125" s="5">
        <f t="shared" si="34"/>
        <v>125.63191991055986</v>
      </c>
      <c r="P125" s="6">
        <f t="shared" si="35"/>
        <v>64.012660463276106</v>
      </c>
      <c r="Q125" s="6"/>
      <c r="R125" s="6">
        <f t="shared" si="36"/>
        <v>7.9138721796341533</v>
      </c>
      <c r="S125" s="6">
        <f t="shared" si="37"/>
        <v>3.3926710045536335</v>
      </c>
      <c r="T125" s="6">
        <f t="shared" si="38"/>
        <v>3.3926710045536335</v>
      </c>
      <c r="U125" s="6">
        <f t="shared" si="39"/>
        <v>10.592546874891724</v>
      </c>
      <c r="V125" s="6">
        <f t="shared" si="40"/>
        <v>10.592546874891724</v>
      </c>
      <c r="W125" s="6">
        <f t="shared" si="41"/>
        <v>-1.8645240931896825</v>
      </c>
      <c r="X125" s="6">
        <f t="shared" si="42"/>
        <v>10.755393967254907</v>
      </c>
      <c r="Y125" s="6">
        <f t="shared" si="43"/>
        <v>1.1306872791950389</v>
      </c>
    </row>
    <row r="126" ht="14.25">
      <c r="A126">
        <v>34</v>
      </c>
      <c r="B126">
        <f t="shared" si="25"/>
        <v>10.199999999999999</v>
      </c>
      <c r="E126">
        <f t="shared" si="26"/>
        <v>0.54059999999999997</v>
      </c>
      <c r="F126">
        <f t="shared" si="27"/>
        <v>0.54059999999999997</v>
      </c>
      <c r="G126">
        <f t="shared" si="28"/>
        <v>2.7422097686618052</v>
      </c>
      <c r="H126">
        <f t="shared" si="29"/>
        <v>2.7422097686618052</v>
      </c>
      <c r="I126">
        <f t="shared" si="30"/>
        <v>-0.29632028291632095</v>
      </c>
      <c r="J126">
        <f t="shared" si="31"/>
        <v>2.7581733312850081</v>
      </c>
      <c r="K126" s="5">
        <f t="shared" si="32"/>
        <v>0.17999999999999999</v>
      </c>
      <c r="N126" s="5">
        <f t="shared" si="33"/>
        <v>61.200000000000003</v>
      </c>
      <c r="O126" s="5">
        <f t="shared" si="34"/>
        <v>123.55924188618478</v>
      </c>
      <c r="P126" s="6">
        <f t="shared" si="35"/>
        <v>67.927268048341844</v>
      </c>
      <c r="Q126" s="6"/>
      <c r="R126" s="6">
        <f t="shared" si="36"/>
        <v>7.8040202443422739</v>
      </c>
      <c r="S126" s="6">
        <f t="shared" si="37"/>
        <v>3.6001452065621176</v>
      </c>
      <c r="T126" s="6">
        <f t="shared" si="38"/>
        <v>3.6001452065621176</v>
      </c>
      <c r="U126" s="6">
        <f t="shared" si="39"/>
        <v>10.646505663979825</v>
      </c>
      <c r="V126" s="6">
        <f t="shared" si="40"/>
        <v>10.646505663979825</v>
      </c>
      <c r="W126" s="6">
        <f t="shared" si="41"/>
        <v>-1.5703165772534775</v>
      </c>
      <c r="X126" s="6">
        <f t="shared" si="42"/>
        <v>10.761690248560008</v>
      </c>
      <c r="Y126" s="6">
        <f t="shared" si="43"/>
        <v>1.1120331769756631</v>
      </c>
    </row>
    <row r="127" ht="14.25">
      <c r="A127">
        <v>33</v>
      </c>
      <c r="B127">
        <f t="shared" si="25"/>
        <v>9.9000000000000004</v>
      </c>
      <c r="E127">
        <f t="shared" si="26"/>
        <v>0.52470000000000006</v>
      </c>
      <c r="F127">
        <f t="shared" si="27"/>
        <v>0.52470000000000006</v>
      </c>
      <c r="G127">
        <f t="shared" si="28"/>
        <v>2.7296559644180602</v>
      </c>
      <c r="H127">
        <f t="shared" si="29"/>
        <v>2.7296559644180602</v>
      </c>
      <c r="I127">
        <f t="shared" si="30"/>
        <v>-0.31222028291632087</v>
      </c>
      <c r="J127">
        <f t="shared" si="31"/>
        <v>2.7474539466836272</v>
      </c>
      <c r="K127" s="5">
        <f t="shared" si="32"/>
        <v>0.17999999999999999</v>
      </c>
      <c r="N127" s="5">
        <f t="shared" si="33"/>
        <v>59.399999999999999</v>
      </c>
      <c r="O127" s="5">
        <f t="shared" si="34"/>
        <v>121.36462580755605</v>
      </c>
      <c r="P127" s="6">
        <f t="shared" si="35"/>
        <v>71.774839620802339</v>
      </c>
      <c r="Q127" s="6"/>
      <c r="R127" s="6">
        <f t="shared" si="36"/>
        <v>7.687705592174952</v>
      </c>
      <c r="S127" s="6">
        <f t="shared" si="37"/>
        <v>3.804066499902524</v>
      </c>
      <c r="T127" s="6">
        <f t="shared" si="38"/>
        <v>3.804066499902524</v>
      </c>
      <c r="U127" s="6">
        <f t="shared" si="39"/>
        <v>10.691196546260723</v>
      </c>
      <c r="V127" s="6">
        <f t="shared" si="40"/>
        <v>10.691196546260723</v>
      </c>
      <c r="W127" s="6">
        <f t="shared" si="41"/>
        <v>-1.2745593484421369</v>
      </c>
      <c r="X127" s="6">
        <f t="shared" si="42"/>
        <v>10.766902299337469</v>
      </c>
      <c r="Y127" s="6">
        <f t="shared" si="43"/>
        <v>1.0922816322680045</v>
      </c>
    </row>
    <row r="128" ht="14.25">
      <c r="A128">
        <v>32</v>
      </c>
      <c r="B128">
        <f t="shared" si="25"/>
        <v>9.5999999999999996</v>
      </c>
      <c r="E128">
        <f t="shared" si="26"/>
        <v>0.50879999999999992</v>
      </c>
      <c r="F128">
        <f t="shared" si="27"/>
        <v>0.50879999999999992</v>
      </c>
      <c r="G128">
        <f t="shared" si="28"/>
        <v>2.7171021601743157</v>
      </c>
      <c r="H128">
        <f t="shared" si="29"/>
        <v>2.7171021601743157</v>
      </c>
      <c r="I128">
        <f t="shared" si="30"/>
        <v>-0.328120282916321</v>
      </c>
      <c r="J128">
        <f t="shared" si="31"/>
        <v>2.7368425363701543</v>
      </c>
      <c r="K128" s="5">
        <f t="shared" si="32"/>
        <v>0.17999999999999999</v>
      </c>
      <c r="N128" s="5">
        <f t="shared" si="33"/>
        <v>57.600000000000001</v>
      </c>
      <c r="O128" s="5">
        <f t="shared" si="34"/>
        <v>119.05023749578413</v>
      </c>
      <c r="P128" s="6">
        <f t="shared" si="35"/>
        <v>75.551578092038511</v>
      </c>
      <c r="Q128" s="6"/>
      <c r="R128" s="6">
        <f t="shared" si="36"/>
        <v>7.5650430116510394</v>
      </c>
      <c r="S128" s="6">
        <f t="shared" si="37"/>
        <v>4.0042336388780413</v>
      </c>
      <c r="T128" s="6">
        <f t="shared" si="38"/>
        <v>4.0042336388780413</v>
      </c>
      <c r="U128" s="6">
        <f t="shared" si="39"/>
        <v>10.726575417229208</v>
      </c>
      <c r="V128" s="6">
        <f t="shared" si="40"/>
        <v>10.726575417229208</v>
      </c>
      <c r="W128" s="6">
        <f t="shared" si="41"/>
        <v>-0.9775442834333008</v>
      </c>
      <c r="X128" s="6">
        <f t="shared" si="42"/>
        <v>10.771026553099713</v>
      </c>
      <c r="Y128" s="6">
        <f t="shared" si="43"/>
        <v>1.0714521374620571</v>
      </c>
    </row>
    <row r="129" ht="14.25">
      <c r="A129">
        <v>31</v>
      </c>
      <c r="B129">
        <f t="shared" si="25"/>
        <v>9.3000000000000007</v>
      </c>
      <c r="E129">
        <f t="shared" si="26"/>
        <v>0.4929</v>
      </c>
      <c r="F129">
        <f t="shared" si="27"/>
        <v>0.4929</v>
      </c>
      <c r="G129">
        <f t="shared" si="28"/>
        <v>2.7045483559305707</v>
      </c>
      <c r="H129">
        <f t="shared" si="29"/>
        <v>2.7045483559305707</v>
      </c>
      <c r="I129">
        <f t="shared" si="30"/>
        <v>-0.34402028291632092</v>
      </c>
      <c r="J129">
        <f t="shared" si="31"/>
        <v>2.7263403611113155</v>
      </c>
      <c r="K129" s="5">
        <f t="shared" si="32"/>
        <v>0.17999999999999999</v>
      </c>
      <c r="N129" s="5">
        <f t="shared" si="33"/>
        <v>55.799999999999997</v>
      </c>
      <c r="O129" s="5">
        <f t="shared" si="34"/>
        <v>116.61836097271322</v>
      </c>
      <c r="P129" s="6">
        <f t="shared" si="35"/>
        <v>79.253756277150416</v>
      </c>
      <c r="Q129" s="6"/>
      <c r="R129" s="6">
        <f t="shared" si="36"/>
        <v>7.4361535559282812</v>
      </c>
      <c r="S129" s="6">
        <f t="shared" si="37"/>
        <v>4.200449082688972</v>
      </c>
      <c r="T129" s="6">
        <f t="shared" si="38"/>
        <v>4.200449082688972</v>
      </c>
      <c r="U129" s="6">
        <f t="shared" si="39"/>
        <v>10.752607362210973</v>
      </c>
      <c r="V129" s="6">
        <f t="shared" si="40"/>
        <v>10.752607362210973</v>
      </c>
      <c r="W129" s="6">
        <f t="shared" si="41"/>
        <v>-0.67956450023706694</v>
      </c>
      <c r="X129" s="6">
        <f t="shared" si="42"/>
        <v>10.774060190840595</v>
      </c>
      <c r="Y129" s="6">
        <f t="shared" si="43"/>
        <v>1.0495652487544189</v>
      </c>
    </row>
    <row r="130" ht="14.25">
      <c r="A130">
        <v>30</v>
      </c>
      <c r="B130">
        <f t="shared" si="25"/>
        <v>9</v>
      </c>
      <c r="E130">
        <f t="shared" si="26"/>
        <v>0.47699999999999998</v>
      </c>
      <c r="F130">
        <f t="shared" si="27"/>
        <v>0.47699999999999998</v>
      </c>
      <c r="G130">
        <f t="shared" si="28"/>
        <v>2.6919945516868258</v>
      </c>
      <c r="H130">
        <f t="shared" si="29"/>
        <v>2.6919945516868258</v>
      </c>
      <c r="I130">
        <f t="shared" si="30"/>
        <v>-0.35992028291632094</v>
      </c>
      <c r="J130">
        <f t="shared" si="31"/>
        <v>2.7159486880952151</v>
      </c>
      <c r="K130" s="5">
        <f t="shared" si="32"/>
        <v>0.17999999999999999</v>
      </c>
      <c r="N130" s="5">
        <f t="shared" si="33"/>
        <v>54</v>
      </c>
      <c r="O130" s="5">
        <f t="shared" si="34"/>
        <v>114.07139620686759</v>
      </c>
      <c r="P130" s="6">
        <f t="shared" si="35"/>
        <v>82.877720573238719</v>
      </c>
      <c r="Q130" s="6"/>
      <c r="R130" s="6">
        <f t="shared" si="36"/>
        <v>7.3011644233384629</v>
      </c>
      <c r="S130" s="6">
        <f t="shared" si="37"/>
        <v>4.3925191903816518</v>
      </c>
      <c r="T130" s="6">
        <f t="shared" si="38"/>
        <v>4.3925191903816518</v>
      </c>
      <c r="U130" s="6">
        <f t="shared" si="39"/>
        <v>10.769266690819199</v>
      </c>
      <c r="V130" s="6">
        <f t="shared" si="40"/>
        <v>10.769266690819199</v>
      </c>
      <c r="W130" s="6">
        <f t="shared" si="41"/>
        <v>-0.3809140689239161</v>
      </c>
      <c r="X130" s="6">
        <f t="shared" si="42"/>
        <v>10.776001140770729</v>
      </c>
      <c r="Y130" s="6">
        <f t="shared" si="43"/>
        <v>1.0266425658618084</v>
      </c>
    </row>
    <row r="131" ht="14.25">
      <c r="A131">
        <v>29</v>
      </c>
      <c r="B131">
        <f t="shared" si="25"/>
        <v>8.6999999999999993</v>
      </c>
      <c r="E131">
        <f t="shared" si="26"/>
        <v>0.46109999999999995</v>
      </c>
      <c r="F131">
        <f t="shared" si="27"/>
        <v>0.46109999999999995</v>
      </c>
      <c r="G131">
        <f t="shared" si="28"/>
        <v>2.6794407474430812</v>
      </c>
      <c r="H131">
        <f t="shared" si="29"/>
        <v>2.6794407474430812</v>
      </c>
      <c r="I131">
        <f t="shared" si="30"/>
        <v>-0.37582028291632097</v>
      </c>
      <c r="J131">
        <f t="shared" si="31"/>
        <v>2.7056687905413774</v>
      </c>
      <c r="K131" s="5">
        <f t="shared" si="32"/>
        <v>0.17999999999999999</v>
      </c>
      <c r="N131" s="5">
        <f t="shared" si="33"/>
        <v>52.200000000000003</v>
      </c>
      <c r="O131" s="5">
        <f t="shared" si="34"/>
        <v>111.41185674497235</v>
      </c>
      <c r="P131" s="6">
        <f t="shared" si="35"/>
        <v>86.419894565069683</v>
      </c>
      <c r="Q131" s="6"/>
      <c r="R131" s="6">
        <f t="shared" si="36"/>
        <v>7.1602088318580153</v>
      </c>
      <c r="S131" s="6">
        <f t="shared" si="37"/>
        <v>4.580254411948693</v>
      </c>
      <c r="T131" s="6">
        <f t="shared" si="38"/>
        <v>4.580254411948693</v>
      </c>
      <c r="U131" s="6">
        <f t="shared" si="39"/>
        <v>10.776536962307851</v>
      </c>
      <c r="V131" s="6">
        <f t="shared" si="40"/>
        <v>10.776536962307851</v>
      </c>
      <c r="W131" s="6">
        <f t="shared" si="41"/>
        <v>-0.081887721413051118</v>
      </c>
      <c r="X131" s="6">
        <f t="shared" si="42"/>
        <v>10.776848078121244</v>
      </c>
      <c r="Y131" s="6">
        <f t="shared" si="43"/>
        <v>1.0027067107047511</v>
      </c>
    </row>
    <row r="132" ht="14.25">
      <c r="A132">
        <v>28</v>
      </c>
      <c r="B132">
        <f t="shared" si="25"/>
        <v>8.4000000000000004</v>
      </c>
      <c r="E132">
        <f t="shared" si="26"/>
        <v>0.44519999999999998</v>
      </c>
      <c r="F132">
        <f t="shared" si="27"/>
        <v>0.44519999999999998</v>
      </c>
      <c r="G132">
        <f t="shared" si="28"/>
        <v>2.6668869431993363</v>
      </c>
      <c r="H132">
        <f t="shared" si="29"/>
        <v>2.6668869431993363</v>
      </c>
      <c r="I132">
        <f t="shared" si="30"/>
        <v>-0.39172028291632094</v>
      </c>
      <c r="J132">
        <f t="shared" si="31"/>
        <v>2.695501947292033</v>
      </c>
      <c r="K132" s="5">
        <f t="shared" si="32"/>
        <v>0.17999999999999999</v>
      </c>
      <c r="N132" s="5">
        <f t="shared" si="33"/>
        <v>50.399999999999999</v>
      </c>
      <c r="O132" s="5">
        <f t="shared" si="34"/>
        <v>108.64236723138627</v>
      </c>
      <c r="P132" s="6">
        <f t="shared" si="35"/>
        <v>89.876782554565267</v>
      </c>
      <c r="Q132" s="6"/>
      <c r="R132" s="6">
        <f t="shared" si="36"/>
        <v>7.0134258876379532</v>
      </c>
      <c r="S132" s="6">
        <f t="shared" si="37"/>
        <v>4.7634694753919593</v>
      </c>
      <c r="T132" s="6">
        <f t="shared" si="38"/>
        <v>4.7634694753919593</v>
      </c>
      <c r="U132" s="6">
        <f t="shared" si="39"/>
        <v>10.774411001796723</v>
      </c>
      <c r="V132" s="6">
        <f t="shared" si="40"/>
        <v>10.774411001796723</v>
      </c>
      <c r="W132" s="6">
        <f t="shared" si="41"/>
        <v>0.21721943939242827</v>
      </c>
      <c r="X132" s="6">
        <f t="shared" si="42"/>
        <v>10.776600425017541</v>
      </c>
      <c r="Y132" s="6">
        <f t="shared" si="43"/>
        <v>0.97778130508247652</v>
      </c>
    </row>
    <row r="133" ht="14.25">
      <c r="A133">
        <v>27</v>
      </c>
      <c r="B133">
        <f t="shared" si="25"/>
        <v>8.0999999999999996</v>
      </c>
      <c r="E133">
        <f t="shared" si="26"/>
        <v>0.42929999999999996</v>
      </c>
      <c r="F133">
        <f t="shared" si="27"/>
        <v>0.42929999999999996</v>
      </c>
      <c r="G133">
        <f t="shared" si="28"/>
        <v>2.6543331389555913</v>
      </c>
      <c r="H133">
        <f t="shared" si="29"/>
        <v>2.6543331389555913</v>
      </c>
      <c r="I133">
        <f t="shared" si="30"/>
        <v>-0.40762028291632096</v>
      </c>
      <c r="J133">
        <f t="shared" si="31"/>
        <v>2.6854494423843884</v>
      </c>
      <c r="K133" s="5">
        <f t="shared" si="32"/>
        <v>0.17999999999999999</v>
      </c>
      <c r="N133" s="5">
        <f t="shared" si="33"/>
        <v>48.600000000000001</v>
      </c>
      <c r="O133" s="5">
        <f t="shared" si="34"/>
        <v>105.7656608178948</v>
      </c>
      <c r="P133" s="6">
        <f t="shared" si="35"/>
        <v>93.244973010634908</v>
      </c>
      <c r="Q133" s="6"/>
      <c r="R133" s="6">
        <f t="shared" si="36"/>
        <v>6.8609604477229054</v>
      </c>
      <c r="S133" s="6">
        <f t="shared" si="37"/>
        <v>4.94198356956365</v>
      </c>
      <c r="T133" s="6">
        <f t="shared" si="38"/>
        <v>4.94198356956365</v>
      </c>
      <c r="U133" s="6">
        <f t="shared" si="39"/>
        <v>10.762890907352169</v>
      </c>
      <c r="V133" s="6">
        <f t="shared" si="40"/>
        <v>10.762890907352169</v>
      </c>
      <c r="W133" s="6">
        <f t="shared" si="41"/>
        <v>0.51611223083644209</v>
      </c>
      <c r="X133" s="6">
        <f t="shared" si="42"/>
        <v>10.775258350424039</v>
      </c>
      <c r="Y133" s="6">
        <f t="shared" si="43"/>
        <v>0.95189094736105306</v>
      </c>
    </row>
    <row r="134" ht="14.25">
      <c r="A134">
        <v>26</v>
      </c>
      <c r="B134">
        <f t="shared" si="25"/>
        <v>7.7999999999999998</v>
      </c>
      <c r="E134">
        <f t="shared" si="26"/>
        <v>0.41339999999999999</v>
      </c>
      <c r="F134">
        <f t="shared" si="27"/>
        <v>0.41339999999999999</v>
      </c>
      <c r="G134">
        <f t="shared" si="28"/>
        <v>2.6417793347118468</v>
      </c>
      <c r="H134">
        <f t="shared" si="29"/>
        <v>2.6417793347118468</v>
      </c>
      <c r="I134">
        <f t="shared" si="30"/>
        <v>-0.42352028291632093</v>
      </c>
      <c r="J134">
        <f t="shared" si="31"/>
        <v>2.6755125646036664</v>
      </c>
      <c r="K134" s="5">
        <f t="shared" si="32"/>
        <v>0.17999999999999999</v>
      </c>
      <c r="N134" s="5">
        <f t="shared" si="33"/>
        <v>46.799999999999997</v>
      </c>
      <c r="O134" s="5">
        <f t="shared" si="34"/>
        <v>102.78457646641903</v>
      </c>
      <c r="P134" s="6">
        <f t="shared" si="35"/>
        <v>96.52114193594511</v>
      </c>
      <c r="Q134" s="6"/>
      <c r="R134" s="6">
        <f t="shared" si="36"/>
        <v>6.702962977094689</v>
      </c>
      <c r="S134" s="6">
        <f t="shared" si="37"/>
        <v>5.1156205226050906</v>
      </c>
      <c r="T134" s="6">
        <f t="shared" si="38"/>
        <v>5.1156205226050906</v>
      </c>
      <c r="U134" s="6">
        <f t="shared" si="39"/>
        <v>10.741988047916568</v>
      </c>
      <c r="V134" s="6">
        <f t="shared" si="40"/>
        <v>10.741988047916568</v>
      </c>
      <c r="W134" s="6">
        <f t="shared" si="41"/>
        <v>0.81449568181960874</v>
      </c>
      <c r="X134" s="6">
        <f t="shared" si="42"/>
        <v>10.772822770160344</v>
      </c>
      <c r="Y134" s="6">
        <f t="shared" si="43"/>
        <v>0.92506118819777128</v>
      </c>
    </row>
    <row r="135" ht="14.25">
      <c r="A135">
        <v>25</v>
      </c>
      <c r="B135">
        <f t="shared" si="25"/>
        <v>7.5</v>
      </c>
      <c r="E135">
        <f t="shared" si="26"/>
        <v>0.39749999999999996</v>
      </c>
      <c r="F135">
        <f t="shared" si="27"/>
        <v>0.39749999999999996</v>
      </c>
      <c r="G135">
        <f t="shared" si="28"/>
        <v>2.6292255304681018</v>
      </c>
      <c r="H135">
        <f t="shared" si="29"/>
        <v>2.6292255304681018</v>
      </c>
      <c r="I135">
        <f t="shared" si="30"/>
        <v>-0.43942028291632096</v>
      </c>
      <c r="J135">
        <f t="shared" si="31"/>
        <v>2.6656926070167075</v>
      </c>
      <c r="K135" s="5">
        <f t="shared" si="32"/>
        <v>0.17999999999999999</v>
      </c>
      <c r="N135" s="5">
        <f t="shared" si="33"/>
        <v>45</v>
      </c>
      <c r="O135" s="5">
        <f t="shared" si="34"/>
        <v>99.702056147303196</v>
      </c>
      <c r="P135" s="6">
        <f t="shared" si="35"/>
        <v>99.70205614730321</v>
      </c>
      <c r="Q135" s="6"/>
      <c r="R135" s="6">
        <f t="shared" si="36"/>
        <v>6.5395894001815504</v>
      </c>
      <c r="S135" s="6">
        <f t="shared" si="37"/>
        <v>5.2842089758070703</v>
      </c>
      <c r="T135" s="6">
        <f t="shared" si="38"/>
        <v>5.2842089758070703</v>
      </c>
      <c r="U135" s="6">
        <f t="shared" si="39"/>
        <v>10.711723052088546</v>
      </c>
      <c r="V135" s="6">
        <f t="shared" si="40"/>
        <v>10.711723052088546</v>
      </c>
      <c r="W135" s="6">
        <f t="shared" si="41"/>
        <v>1.1120753239000756</v>
      </c>
      <c r="X135" s="6">
        <f t="shared" si="42"/>
        <v>10.769295346988708</v>
      </c>
      <c r="Y135" s="6">
        <f t="shared" si="43"/>
        <v>0.89731850532572865</v>
      </c>
    </row>
    <row r="136" ht="14.25">
      <c r="A136">
        <v>24</v>
      </c>
      <c r="B136">
        <f t="shared" si="25"/>
        <v>7.2000000000000002</v>
      </c>
      <c r="E136">
        <f t="shared" si="26"/>
        <v>0.38159999999999999</v>
      </c>
      <c r="F136">
        <f t="shared" si="27"/>
        <v>0.38159999999999999</v>
      </c>
      <c r="G136">
        <f t="shared" si="28"/>
        <v>2.6166717262243573</v>
      </c>
      <c r="H136">
        <f t="shared" si="29"/>
        <v>2.6166717262243573</v>
      </c>
      <c r="I136">
        <f t="shared" si="30"/>
        <v>-0.45532028291632093</v>
      </c>
      <c r="J136">
        <f t="shared" si="31"/>
        <v>2.6559908664859817</v>
      </c>
      <c r="K136" s="5">
        <f t="shared" si="32"/>
        <v>0.17999999999999999</v>
      </c>
      <c r="N136" s="5">
        <f t="shared" si="33"/>
        <v>43.200000000000003</v>
      </c>
      <c r="O136" s="5">
        <f t="shared" si="34"/>
        <v>96.52114193594511</v>
      </c>
      <c r="P136" s="6">
        <f t="shared" si="35"/>
        <v>102.78457646641903</v>
      </c>
      <c r="Q136" s="6"/>
      <c r="R136" s="6">
        <f t="shared" si="36"/>
        <v>6.3710009469795716</v>
      </c>
      <c r="S136" s="6">
        <f t="shared" si="37"/>
        <v>5.447582552720208</v>
      </c>
      <c r="T136" s="6">
        <f t="shared" si="38"/>
        <v>5.447582552720208</v>
      </c>
      <c r="U136" s="6">
        <f t="shared" si="39"/>
        <v>10.672125787765053</v>
      </c>
      <c r="V136" s="6">
        <f t="shared" si="40"/>
        <v>10.672125787765053</v>
      </c>
      <c r="W136" s="6">
        <f t="shared" si="41"/>
        <v>1.4085574818983302</v>
      </c>
      <c r="X136" s="6">
        <f t="shared" si="42"/>
        <v>10.764678490772106</v>
      </c>
      <c r="Y136" s="6">
        <f t="shared" si="43"/>
        <v>0.86869027742350602</v>
      </c>
    </row>
    <row r="137" ht="14.25">
      <c r="A137">
        <v>23</v>
      </c>
      <c r="B137">
        <f t="shared" si="25"/>
        <v>6.9000000000000004</v>
      </c>
      <c r="E137">
        <f t="shared" si="26"/>
        <v>0.36570000000000003</v>
      </c>
      <c r="F137">
        <f t="shared" si="27"/>
        <v>0.36570000000000003</v>
      </c>
      <c r="G137">
        <f t="shared" si="28"/>
        <v>2.6041179219806123</v>
      </c>
      <c r="H137">
        <f t="shared" si="29"/>
        <v>2.6041179219806123</v>
      </c>
      <c r="I137">
        <f t="shared" si="30"/>
        <v>-0.4712202829163209</v>
      </c>
      <c r="J137">
        <f t="shared" si="31"/>
        <v>2.6464086431638556</v>
      </c>
      <c r="K137" s="5">
        <f t="shared" si="32"/>
        <v>0.17999999999999999</v>
      </c>
      <c r="N137" s="5">
        <f t="shared" si="33"/>
        <v>41.399999999999999</v>
      </c>
      <c r="O137" s="5">
        <f t="shared" si="34"/>
        <v>93.244973010634908</v>
      </c>
      <c r="P137" s="6">
        <f t="shared" si="35"/>
        <v>105.7656608178948</v>
      </c>
      <c r="Q137" s="6"/>
      <c r="R137" s="6">
        <f t="shared" si="36"/>
        <v>6.1973639939381311</v>
      </c>
      <c r="S137" s="6">
        <f t="shared" si="37"/>
        <v>5.6055800233484243</v>
      </c>
      <c r="T137" s="6">
        <f t="shared" si="38"/>
        <v>5.6055800233484243</v>
      </c>
      <c r="U137" s="6">
        <f t="shared" si="39"/>
        <v>10.623235332665338</v>
      </c>
      <c r="V137" s="6">
        <f t="shared" si="40"/>
        <v>10.623235332665338</v>
      </c>
      <c r="W137" s="6">
        <f t="shared" si="41"/>
        <v>1.7036495637191607</v>
      </c>
      <c r="X137" s="6">
        <f t="shared" si="42"/>
        <v>10.758975358701669</v>
      </c>
      <c r="Y137" s="6">
        <f t="shared" si="43"/>
        <v>0.83920475709571418</v>
      </c>
    </row>
    <row r="138" ht="14.25">
      <c r="A138">
        <v>22</v>
      </c>
      <c r="B138">
        <f t="shared" si="25"/>
        <v>6.5999999999999996</v>
      </c>
      <c r="E138">
        <f t="shared" si="26"/>
        <v>0.34979999999999994</v>
      </c>
      <c r="F138">
        <f t="shared" si="27"/>
        <v>0.34979999999999994</v>
      </c>
      <c r="G138">
        <f t="shared" si="28"/>
        <v>2.5915641177368673</v>
      </c>
      <c r="H138">
        <f t="shared" si="29"/>
        <v>2.5915641177368673</v>
      </c>
      <c r="I138">
        <f t="shared" si="30"/>
        <v>-0.48712028291632098</v>
      </c>
      <c r="J138">
        <f t="shared" si="31"/>
        <v>2.6369472399670313</v>
      </c>
      <c r="K138" s="5">
        <f t="shared" si="32"/>
        <v>0.17999999999999999</v>
      </c>
      <c r="N138" s="5">
        <f t="shared" si="33"/>
        <v>39.600000000000001</v>
      </c>
      <c r="O138" s="5">
        <f t="shared" si="34"/>
        <v>89.876782554565239</v>
      </c>
      <c r="P138" s="6">
        <f t="shared" si="35"/>
        <v>108.64236723138629</v>
      </c>
      <c r="Q138" s="6"/>
      <c r="R138" s="6">
        <f t="shared" si="36"/>
        <v>6.0188498997664386</v>
      </c>
      <c r="S138" s="6">
        <f t="shared" si="37"/>
        <v>5.758045463263473</v>
      </c>
      <c r="T138" s="6">
        <f t="shared" si="38"/>
        <v>5.758045463263473</v>
      </c>
      <c r="U138" s="6">
        <f t="shared" si="39"/>
        <v>10.565099935765971</v>
      </c>
      <c r="V138" s="6">
        <f t="shared" si="40"/>
        <v>10.565099935765971</v>
      </c>
      <c r="W138" s="6">
        <f t="shared" si="41"/>
        <v>1.9970603491047036</v>
      </c>
      <c r="X138" s="6">
        <f t="shared" si="42"/>
        <v>10.752189855591666</v>
      </c>
      <c r="Y138" s="6">
        <f t="shared" si="43"/>
        <v>0.80889104299108716</v>
      </c>
    </row>
    <row r="139" ht="14.25">
      <c r="A139">
        <v>21</v>
      </c>
      <c r="B139">
        <f t="shared" si="25"/>
        <v>6.2999999999999998</v>
      </c>
      <c r="E139">
        <f t="shared" si="26"/>
        <v>0.33389999999999997</v>
      </c>
      <c r="F139">
        <f t="shared" si="27"/>
        <v>0.33389999999999997</v>
      </c>
      <c r="G139">
        <f t="shared" si="28"/>
        <v>2.5790103134931228</v>
      </c>
      <c r="H139">
        <f t="shared" si="29"/>
        <v>2.5790103134931228</v>
      </c>
      <c r="I139">
        <f t="shared" si="30"/>
        <v>-0.50302028291632095</v>
      </c>
      <c r="J139">
        <f t="shared" si="31"/>
        <v>2.6276079620310773</v>
      </c>
      <c r="K139" s="5">
        <f t="shared" si="32"/>
        <v>0.17999999999999999</v>
      </c>
      <c r="N139" s="5">
        <f t="shared" si="33"/>
        <v>37.799999999999997</v>
      </c>
      <c r="O139" s="5">
        <f t="shared" si="34"/>
        <v>86.419894565069669</v>
      </c>
      <c r="P139" s="6">
        <f t="shared" si="35"/>
        <v>111.41185674497235</v>
      </c>
      <c r="Q139" s="6"/>
      <c r="R139" s="6">
        <f t="shared" si="36"/>
        <v>5.8356348363231731</v>
      </c>
      <c r="S139" s="6">
        <f t="shared" si="37"/>
        <v>5.9048284074835342</v>
      </c>
      <c r="T139" s="6">
        <f t="shared" si="38"/>
        <v>5.9048284074835342</v>
      </c>
      <c r="U139" s="6">
        <f t="shared" si="39"/>
        <v>10.497776969684917</v>
      </c>
      <c r="V139" s="6">
        <f t="shared" si="40"/>
        <v>10.497776969684917</v>
      </c>
      <c r="W139" s="6">
        <f t="shared" si="41"/>
        <v>2.2885002770336977</v>
      </c>
      <c r="X139" s="6">
        <f t="shared" si="42"/>
        <v>10.744326634239595</v>
      </c>
      <c r="Y139" s="6">
        <f t="shared" si="43"/>
        <v>0.77777905108562706</v>
      </c>
    </row>
    <row r="140" ht="14.25">
      <c r="A140">
        <v>20</v>
      </c>
      <c r="B140">
        <f t="shared" si="25"/>
        <v>6</v>
      </c>
      <c r="E140">
        <f t="shared" si="26"/>
        <v>0.318</v>
      </c>
      <c r="F140">
        <f t="shared" si="27"/>
        <v>0.318</v>
      </c>
      <c r="G140">
        <f t="shared" si="28"/>
        <v>2.5664565092493778</v>
      </c>
      <c r="H140">
        <f t="shared" si="29"/>
        <v>2.5664565092493778</v>
      </c>
      <c r="I140">
        <f t="shared" si="30"/>
        <v>-0.51892028291632086</v>
      </c>
      <c r="J140">
        <f t="shared" si="31"/>
        <v>2.6183921161450314</v>
      </c>
      <c r="K140" s="5">
        <f t="shared" si="32"/>
        <v>0.17999999999999999</v>
      </c>
      <c r="N140" s="5">
        <f t="shared" si="33"/>
        <v>36</v>
      </c>
      <c r="O140" s="5">
        <f t="shared" si="34"/>
        <v>82.877720573238719</v>
      </c>
      <c r="P140" s="6">
        <f t="shared" si="35"/>
        <v>114.07139620686759</v>
      </c>
      <c r="Q140" s="6"/>
      <c r="R140" s="6">
        <f t="shared" si="36"/>
        <v>5.6478996147561329</v>
      </c>
      <c r="S140" s="6">
        <f t="shared" si="37"/>
        <v>6.0457839989639819</v>
      </c>
      <c r="T140" s="6">
        <f t="shared" si="38"/>
        <v>6.0457839989639819</v>
      </c>
      <c r="U140" s="6">
        <f t="shared" si="39"/>
        <v>10.421332874061701</v>
      </c>
      <c r="V140" s="6">
        <f t="shared" si="40"/>
        <v>10.421332874061701</v>
      </c>
      <c r="W140" s="6">
        <f t="shared" si="41"/>
        <v>2.5776817314832448</v>
      </c>
      <c r="X140" s="6">
        <f t="shared" si="42"/>
        <v>10.735391095848421</v>
      </c>
      <c r="Y140" s="6">
        <f t="shared" si="43"/>
        <v>0.7458994851591485</v>
      </c>
    </row>
    <row r="141" ht="14.25">
      <c r="A141">
        <v>19</v>
      </c>
      <c r="B141">
        <f t="shared" si="25"/>
        <v>5.7000000000000002</v>
      </c>
      <c r="E141">
        <f t="shared" si="26"/>
        <v>0.30209999999999998</v>
      </c>
      <c r="F141">
        <f t="shared" si="27"/>
        <v>0.30209999999999998</v>
      </c>
      <c r="G141">
        <f t="shared" si="28"/>
        <v>2.5539027050056329</v>
      </c>
      <c r="H141">
        <f t="shared" si="29"/>
        <v>2.5539027050056329</v>
      </c>
      <c r="I141">
        <f t="shared" si="30"/>
        <v>-0.53482028291632089</v>
      </c>
      <c r="J141">
        <f t="shared" si="31"/>
        <v>2.609301010166091</v>
      </c>
      <c r="K141" s="5">
        <f t="shared" si="32"/>
        <v>0.17999999999999999</v>
      </c>
      <c r="N141" s="5">
        <f t="shared" si="33"/>
        <v>34.200000000000003</v>
      </c>
      <c r="O141" s="5">
        <f t="shared" si="34"/>
        <v>79.253756277150416</v>
      </c>
      <c r="P141" s="6">
        <f t="shared" si="35"/>
        <v>116.61836097271322</v>
      </c>
      <c r="Q141" s="6"/>
      <c r="R141" s="6">
        <f t="shared" si="36"/>
        <v>5.455829507063453</v>
      </c>
      <c r="S141" s="6">
        <f t="shared" si="37"/>
        <v>6.1807731315538001</v>
      </c>
      <c r="T141" s="6">
        <f t="shared" si="38"/>
        <v>6.1807731315538001</v>
      </c>
      <c r="U141" s="6">
        <f t="shared" si="39"/>
        <v>10.335843089989492</v>
      </c>
      <c r="V141" s="6">
        <f t="shared" si="40"/>
        <v>10.335843089989492</v>
      </c>
      <c r="W141" s="6">
        <f t="shared" si="41"/>
        <v>2.8643193252711066</v>
      </c>
      <c r="X141" s="6">
        <f t="shared" si="42"/>
        <v>10.72538939050723</v>
      </c>
      <c r="Y141" s="6">
        <f t="shared" si="43"/>
        <v>0.71328380649435374</v>
      </c>
    </row>
    <row r="142" ht="14.25">
      <c r="A142">
        <v>18</v>
      </c>
      <c r="B142">
        <f t="shared" si="25"/>
        <v>5.4000000000000004</v>
      </c>
      <c r="E142">
        <f t="shared" si="26"/>
        <v>0.28620000000000001</v>
      </c>
      <c r="F142">
        <f t="shared" si="27"/>
        <v>0.28620000000000001</v>
      </c>
      <c r="G142">
        <f t="shared" si="28"/>
        <v>2.5413489007618884</v>
      </c>
      <c r="H142">
        <f t="shared" si="29"/>
        <v>2.5413489007618884</v>
      </c>
      <c r="I142">
        <f t="shared" si="30"/>
        <v>-0.55072028291632091</v>
      </c>
      <c r="J142">
        <f t="shared" si="31"/>
        <v>2.6003359524144356</v>
      </c>
      <c r="K142" s="5">
        <f t="shared" si="32"/>
        <v>0.17999999999999999</v>
      </c>
      <c r="N142" s="5">
        <f t="shared" si="33"/>
        <v>32.399999999999999</v>
      </c>
      <c r="O142" s="5">
        <f t="shared" si="34"/>
        <v>75.551578092038525</v>
      </c>
      <c r="P142" s="6">
        <f t="shared" si="35"/>
        <v>119.05023749578413</v>
      </c>
      <c r="Q142" s="6"/>
      <c r="R142" s="6">
        <f t="shared" si="36"/>
        <v>5.2596140632525223</v>
      </c>
      <c r="S142" s="6">
        <f t="shared" si="37"/>
        <v>6.3096625872765584</v>
      </c>
      <c r="T142" s="6">
        <f t="shared" si="38"/>
        <v>6.3096625872765584</v>
      </c>
      <c r="U142" s="6">
        <f t="shared" si="39"/>
        <v>10.241391985563865</v>
      </c>
      <c r="V142" s="6">
        <f t="shared" si="40"/>
        <v>10.241391985563865</v>
      </c>
      <c r="W142" s="6">
        <f t="shared" si="41"/>
        <v>3.1481301816983889</v>
      </c>
      <c r="X142" s="6">
        <f t="shared" si="42"/>
        <v>10.714328417726055</v>
      </c>
      <c r="Y142" s="6">
        <f t="shared" si="43"/>
        <v>0.67996420282834669</v>
      </c>
    </row>
    <row r="143" ht="14.25">
      <c r="A143">
        <v>17</v>
      </c>
      <c r="B143">
        <f t="shared" si="25"/>
        <v>5.0999999999999996</v>
      </c>
      <c r="E143">
        <f t="shared" si="26"/>
        <v>0.27029999999999998</v>
      </c>
      <c r="F143">
        <f t="shared" si="27"/>
        <v>0.27029999999999998</v>
      </c>
      <c r="G143">
        <f t="shared" si="28"/>
        <v>2.5287950965181434</v>
      </c>
      <c r="H143">
        <f t="shared" si="29"/>
        <v>2.5287950965181434</v>
      </c>
      <c r="I143">
        <f t="shared" si="30"/>
        <v>-0.56662028291632094</v>
      </c>
      <c r="J143">
        <f t="shared" si="31"/>
        <v>2.591498251048296</v>
      </c>
      <c r="K143" s="5">
        <f t="shared" si="32"/>
        <v>0.17999999999999999</v>
      </c>
      <c r="N143" s="5">
        <f t="shared" si="33"/>
        <v>30.600000000000001</v>
      </c>
      <c r="O143" s="5">
        <f t="shared" si="34"/>
        <v>71.774839620802354</v>
      </c>
      <c r="P143" s="6">
        <f t="shared" si="35"/>
        <v>121.36462580755605</v>
      </c>
      <c r="Q143" s="6"/>
      <c r="R143" s="6">
        <f t="shared" si="36"/>
        <v>5.0594469242770055</v>
      </c>
      <c r="S143" s="6">
        <f t="shared" si="37"/>
        <v>6.4323251678004709</v>
      </c>
      <c r="T143" s="6">
        <f t="shared" si="38"/>
        <v>6.4323251678004709</v>
      </c>
      <c r="U143" s="6">
        <f t="shared" si="39"/>
        <v>10.138072772621667</v>
      </c>
      <c r="V143" s="6">
        <f t="shared" si="40"/>
        <v>10.138072772621667</v>
      </c>
      <c r="W143" s="6">
        <f t="shared" si="41"/>
        <v>3.4288342137146977</v>
      </c>
      <c r="X143" s="6">
        <f t="shared" si="42"/>
        <v>10.702215827019808</v>
      </c>
      <c r="Y143" s="6">
        <f t="shared" si="43"/>
        <v>0.64597355658722111</v>
      </c>
    </row>
    <row r="144" ht="14.25">
      <c r="A144">
        <v>16</v>
      </c>
      <c r="B144">
        <f t="shared" si="25"/>
        <v>4.7999999999999998</v>
      </c>
      <c r="E144">
        <f t="shared" si="26"/>
        <v>0.25439999999999996</v>
      </c>
      <c r="F144">
        <f t="shared" si="27"/>
        <v>0.25439999999999996</v>
      </c>
      <c r="G144">
        <f t="shared" si="28"/>
        <v>2.5162412922743984</v>
      </c>
      <c r="H144">
        <f t="shared" si="29"/>
        <v>2.5162412922743984</v>
      </c>
      <c r="I144">
        <f t="shared" si="30"/>
        <v>-0.58252028291632096</v>
      </c>
      <c r="J144">
        <f t="shared" si="31"/>
        <v>2.5827892134194079</v>
      </c>
      <c r="K144" s="5">
        <f t="shared" si="32"/>
        <v>0.17999999999999999</v>
      </c>
      <c r="N144" s="5">
        <f t="shared" si="33"/>
        <v>28.800000000000001</v>
      </c>
      <c r="O144" s="5">
        <f t="shared" si="34"/>
        <v>67.927268048341858</v>
      </c>
      <c r="P144" s="6">
        <f t="shared" si="35"/>
        <v>123.55924188618476</v>
      </c>
      <c r="Q144" s="6"/>
      <c r="R144" s="6">
        <f t="shared" si="36"/>
        <v>4.8555256309365999</v>
      </c>
      <c r="S144" s="6">
        <f t="shared" si="37"/>
        <v>6.548639819967792</v>
      </c>
      <c r="T144" s="6">
        <f t="shared" si="38"/>
        <v>6.548639819967792</v>
      </c>
      <c r="U144" s="6">
        <f t="shared" si="39"/>
        <v>10.025987414752194</v>
      </c>
      <c r="V144" s="6">
        <f t="shared" si="40"/>
        <v>10.025987414752194</v>
      </c>
      <c r="W144" s="6">
        <f t="shared" si="41"/>
        <v>3.7061544003302402</v>
      </c>
      <c r="X144" s="6">
        <f t="shared" si="42"/>
        <v>10.689060018535613</v>
      </c>
      <c r="Y144" s="6">
        <f t="shared" si="43"/>
        <v>0.61134541243507678</v>
      </c>
    </row>
    <row r="145" ht="14.25">
      <c r="A145">
        <v>15</v>
      </c>
      <c r="B145">
        <f t="shared" si="25"/>
        <v>4.5</v>
      </c>
      <c r="E145">
        <f t="shared" si="26"/>
        <v>0.23849999999999999</v>
      </c>
      <c r="F145">
        <f t="shared" si="27"/>
        <v>0.23849999999999999</v>
      </c>
      <c r="G145">
        <f t="shared" si="28"/>
        <v>2.5036874880306539</v>
      </c>
      <c r="H145">
        <f t="shared" si="29"/>
        <v>2.5036874880306539</v>
      </c>
      <c r="I145">
        <f t="shared" si="30"/>
        <v>-0.59842028291632099</v>
      </c>
      <c r="J145">
        <f t="shared" si="31"/>
        <v>2.5742101454090527</v>
      </c>
      <c r="K145" s="5">
        <f t="shared" si="32"/>
        <v>0.17999999999999999</v>
      </c>
      <c r="N145" s="5">
        <f t="shared" si="33"/>
        <v>27</v>
      </c>
      <c r="O145" s="5">
        <f t="shared" si="34"/>
        <v>64.012660463276092</v>
      </c>
      <c r="P145" s="6">
        <f t="shared" si="35"/>
        <v>125.63191991055987</v>
      </c>
      <c r="Q145" s="6"/>
      <c r="R145" s="6">
        <f t="shared" si="36"/>
        <v>4.6480514289281141</v>
      </c>
      <c r="S145" s="6">
        <f t="shared" si="37"/>
        <v>6.6584917552596732</v>
      </c>
      <c r="T145" s="6">
        <f t="shared" si="38"/>
        <v>6.6584917552596732</v>
      </c>
      <c r="U145" s="6">
        <f t="shared" si="39"/>
        <v>9.90524652667143</v>
      </c>
      <c r="V145" s="6">
        <f t="shared" si="40"/>
        <v>9.90524652667143</v>
      </c>
      <c r="W145" s="6">
        <f t="shared" si="41"/>
        <v>3.9798170600021021</v>
      </c>
      <c r="X145" s="6">
        <f t="shared" si="42"/>
        <v>10.674870143716982</v>
      </c>
      <c r="Y145" s="6">
        <f t="shared" si="43"/>
        <v>0.5761139441694848</v>
      </c>
    </row>
    <row r="146" ht="14.25">
      <c r="A146">
        <v>14</v>
      </c>
      <c r="B146">
        <f t="shared" si="25"/>
        <v>4.2000000000000002</v>
      </c>
      <c r="E146">
        <f t="shared" si="26"/>
        <v>0.22259999999999999</v>
      </c>
      <c r="F146">
        <f t="shared" si="27"/>
        <v>0.22259999999999999</v>
      </c>
      <c r="G146">
        <f t="shared" si="28"/>
        <v>2.4911336837869089</v>
      </c>
      <c r="H146">
        <f t="shared" si="29"/>
        <v>2.4911336837869089</v>
      </c>
      <c r="I146">
        <f t="shared" si="30"/>
        <v>-0.6143202829163209</v>
      </c>
      <c r="J146">
        <f t="shared" si="31"/>
        <v>2.565762350744925</v>
      </c>
      <c r="K146" s="5">
        <f t="shared" si="32"/>
        <v>0.17999999999999999</v>
      </c>
      <c r="N146" s="5">
        <f t="shared" si="33"/>
        <v>25.199999999999999</v>
      </c>
      <c r="O146" s="5">
        <f t="shared" si="34"/>
        <v>60.034880110675239</v>
      </c>
      <c r="P146" s="6">
        <f t="shared" si="35"/>
        <v>127.58061439770876</v>
      </c>
      <c r="Q146" s="6"/>
      <c r="R146" s="6">
        <f t="shared" si="36"/>
        <v>4.437229070240269</v>
      </c>
      <c r="S146" s="6">
        <f t="shared" si="37"/>
        <v>6.7617725630785639</v>
      </c>
      <c r="T146" s="6">
        <f t="shared" si="38"/>
        <v>6.7617725630785639</v>
      </c>
      <c r="U146" s="6">
        <f t="shared" si="39"/>
        <v>9.7759692650586913</v>
      </c>
      <c r="V146" s="6">
        <f t="shared" si="40"/>
        <v>9.7759692650586913</v>
      </c>
      <c r="W146" s="6">
        <f t="shared" si="41"/>
        <v>4.2495521207248776</v>
      </c>
      <c r="X146" s="6">
        <f t="shared" si="42"/>
        <v>10.659656105997486</v>
      </c>
      <c r="Y146" s="6">
        <f t="shared" si="43"/>
        <v>0.54031392099607722</v>
      </c>
    </row>
    <row r="147" ht="14.25">
      <c r="A147">
        <v>13</v>
      </c>
      <c r="B147">
        <f t="shared" si="25"/>
        <v>3.8999999999999999</v>
      </c>
      <c r="E147">
        <f t="shared" si="26"/>
        <v>0.20669999999999999</v>
      </c>
      <c r="F147">
        <f t="shared" si="27"/>
        <v>0.20669999999999999</v>
      </c>
      <c r="G147">
        <f t="shared" si="28"/>
        <v>2.4785798795431639</v>
      </c>
      <c r="H147">
        <f t="shared" si="29"/>
        <v>2.4785798795431639</v>
      </c>
      <c r="I147">
        <f t="shared" si="30"/>
        <v>-0.63022028291632093</v>
      </c>
      <c r="J147">
        <f t="shared" si="31"/>
        <v>2.5574471302991451</v>
      </c>
      <c r="K147" s="5">
        <f t="shared" si="32"/>
        <v>0.17999999999999999</v>
      </c>
      <c r="N147" s="5">
        <f t="shared" si="33"/>
        <v>23.399999999999999</v>
      </c>
      <c r="O147" s="5">
        <f t="shared" si="34"/>
        <v>55.99785257950407</v>
      </c>
      <c r="P147" s="6">
        <f t="shared" si="35"/>
        <v>129.40340222144135</v>
      </c>
      <c r="Q147" s="6"/>
      <c r="R147" s="6">
        <f t="shared" si="36"/>
        <v>4.2232666110881967</v>
      </c>
      <c r="S147" s="6">
        <f t="shared" si="37"/>
        <v>6.8583803177363913</v>
      </c>
      <c r="T147" s="6">
        <f t="shared" si="38"/>
        <v>6.8583803177363913</v>
      </c>
      <c r="U147" s="6">
        <f t="shared" si="39"/>
        <v>9.6382832109633547</v>
      </c>
      <c r="V147" s="6">
        <f t="shared" si="40"/>
        <v>9.6382832109633547</v>
      </c>
      <c r="W147" s="6">
        <f t="shared" si="41"/>
        <v>4.5150933865591423</v>
      </c>
      <c r="X147" s="6">
        <f t="shared" si="42"/>
        <v>10.643428561515702</v>
      </c>
      <c r="Y147" s="6">
        <f t="shared" si="43"/>
        <v>0.50398067321553663</v>
      </c>
    </row>
    <row r="148" ht="14.25">
      <c r="A148">
        <v>12</v>
      </c>
      <c r="B148">
        <f t="shared" si="25"/>
        <v>3.6000000000000001</v>
      </c>
      <c r="E148">
        <f t="shared" si="26"/>
        <v>0.1908</v>
      </c>
      <c r="F148">
        <f t="shared" si="27"/>
        <v>0.1908</v>
      </c>
      <c r="G148">
        <f t="shared" si="28"/>
        <v>2.4660260752994194</v>
      </c>
      <c r="H148">
        <f t="shared" si="29"/>
        <v>2.4660260752994194</v>
      </c>
      <c r="I148">
        <f t="shared" si="30"/>
        <v>-0.64612028291632095</v>
      </c>
      <c r="J148">
        <f t="shared" si="31"/>
        <v>2.5492657813677497</v>
      </c>
      <c r="K148" s="5">
        <f t="shared" si="32"/>
        <v>0.17999999999999999</v>
      </c>
      <c r="N148" s="5">
        <f t="shared" si="33"/>
        <v>21.600000000000001</v>
      </c>
      <c r="O148" s="5">
        <f t="shared" si="34"/>
        <v>51.905561928539598</v>
      </c>
      <c r="P148" s="6">
        <f t="shared" si="35"/>
        <v>131.09848451024345</v>
      </c>
      <c r="Q148" s="6"/>
      <c r="R148" s="6">
        <f t="shared" si="36"/>
        <v>4.0063752065870801</v>
      </c>
      <c r="S148" s="6">
        <f t="shared" si="37"/>
        <v>6.9482196790429027</v>
      </c>
      <c r="T148" s="6">
        <f t="shared" si="38"/>
        <v>6.9482196790429027</v>
      </c>
      <c r="U148" s="6">
        <f t="shared" si="39"/>
        <v>9.4923242438977731</v>
      </c>
      <c r="V148" s="6">
        <f t="shared" si="40"/>
        <v>9.4923242438977731</v>
      </c>
      <c r="W148" s="6">
        <f t="shared" si="41"/>
        <v>4.7761788003347041</v>
      </c>
      <c r="X148" s="6">
        <f t="shared" si="42"/>
        <v>10.626198919842226</v>
      </c>
      <c r="Y148" s="6">
        <f t="shared" si="43"/>
        <v>0.46715005735685633</v>
      </c>
    </row>
    <row r="149" ht="14.25">
      <c r="A149">
        <v>11</v>
      </c>
      <c r="B149">
        <f t="shared" si="25"/>
        <v>3.2999999999999998</v>
      </c>
      <c r="E149">
        <f t="shared" si="26"/>
        <v>0.17489999999999997</v>
      </c>
      <c r="F149">
        <f t="shared" si="27"/>
        <v>0.17489999999999997</v>
      </c>
      <c r="G149">
        <f t="shared" si="28"/>
        <v>2.4534722710556744</v>
      </c>
      <c r="H149">
        <f t="shared" si="29"/>
        <v>2.4534722710556744</v>
      </c>
      <c r="I149">
        <f t="shared" si="30"/>
        <v>-0.66202028291632098</v>
      </c>
      <c r="J149">
        <f t="shared" si="31"/>
        <v>2.5412195969320903</v>
      </c>
      <c r="K149" s="5">
        <f t="shared" si="32"/>
        <v>0.17999999999999999</v>
      </c>
      <c r="N149" s="5">
        <f t="shared" si="33"/>
        <v>19.800000000000001</v>
      </c>
      <c r="O149" s="5">
        <f t="shared" si="34"/>
        <v>47.762046754586081</v>
      </c>
      <c r="P149" s="6">
        <f t="shared" si="35"/>
        <v>132.66418842254578</v>
      </c>
      <c r="Q149" s="6"/>
      <c r="R149" s="6">
        <f t="shared" si="36"/>
        <v>3.7867689023675437</v>
      </c>
      <c r="S149" s="6">
        <f t="shared" si="37"/>
        <v>7.031201986394926</v>
      </c>
      <c r="T149" s="6">
        <f t="shared" si="38"/>
        <v>7.031201986394926</v>
      </c>
      <c r="U149" s="6">
        <f t="shared" si="39"/>
        <v>9.3382364077405988</v>
      </c>
      <c r="V149" s="6">
        <f t="shared" si="40"/>
        <v>9.3382364077405988</v>
      </c>
      <c r="W149" s="6">
        <f t="shared" si="41"/>
        <v>5.0325507022693898</v>
      </c>
      <c r="X149" s="6">
        <f t="shared" si="42"/>
        <v>10.607979344708594</v>
      </c>
      <c r="Y149" s="6">
        <f t="shared" si="43"/>
        <v>0.42985842079127473</v>
      </c>
    </row>
    <row r="150" ht="14.25">
      <c r="A150">
        <v>10</v>
      </c>
      <c r="B150">
        <f t="shared" si="25"/>
        <v>3</v>
      </c>
      <c r="E150">
        <f t="shared" si="26"/>
        <v>0.159</v>
      </c>
      <c r="F150">
        <f t="shared" si="27"/>
        <v>0.159</v>
      </c>
      <c r="G150">
        <f t="shared" si="28"/>
        <v>2.4409184668119295</v>
      </c>
      <c r="H150">
        <f t="shared" si="29"/>
        <v>2.4409184668119295</v>
      </c>
      <c r="I150">
        <f t="shared" si="30"/>
        <v>-0.67792028291632089</v>
      </c>
      <c r="J150">
        <f t="shared" si="31"/>
        <v>2.5333098649026029</v>
      </c>
      <c r="K150" s="5">
        <f t="shared" si="32"/>
        <v>0.17999999999999999</v>
      </c>
      <c r="N150" s="5">
        <f t="shared" si="33"/>
        <v>18</v>
      </c>
      <c r="O150" s="5">
        <f t="shared" si="34"/>
        <v>43.571396206867583</v>
      </c>
      <c r="P150" s="6">
        <f t="shared" si="35"/>
        <v>134.09896879761664</v>
      </c>
      <c r="Q150" s="6"/>
      <c r="R150" s="6">
        <f t="shared" si="36"/>
        <v>3.5646644233384635</v>
      </c>
      <c r="S150" s="6">
        <f t="shared" si="37"/>
        <v>7.1072453462736815</v>
      </c>
      <c r="T150" s="6">
        <f t="shared" si="38"/>
        <v>7.1072453462736815</v>
      </c>
      <c r="U150" s="6">
        <f t="shared" si="39"/>
        <v>9.1761717685828721</v>
      </c>
      <c r="V150" s="6">
        <f t="shared" si="40"/>
        <v>9.1761717685828721</v>
      </c>
      <c r="W150" s="6">
        <f t="shared" si="41"/>
        <v>5.2839560842481452</v>
      </c>
      <c r="X150" s="6">
        <f t="shared" si="42"/>
        <v>10.588782754726831</v>
      </c>
      <c r="Y150" s="6">
        <f t="shared" si="43"/>
        <v>0.39214256586180823</v>
      </c>
    </row>
    <row r="151" ht="14.25">
      <c r="A151">
        <v>9</v>
      </c>
      <c r="B151">
        <f t="shared" si="25"/>
        <v>2.7000000000000002</v>
      </c>
      <c r="E151">
        <f t="shared" si="26"/>
        <v>0.1431</v>
      </c>
      <c r="F151">
        <f t="shared" si="27"/>
        <v>0.1431</v>
      </c>
      <c r="G151">
        <f t="shared" si="28"/>
        <v>2.428364662568185</v>
      </c>
      <c r="H151">
        <f t="shared" si="29"/>
        <v>2.428364662568185</v>
      </c>
      <c r="I151">
        <f t="shared" si="30"/>
        <v>-0.69382028291632092</v>
      </c>
      <c r="J151">
        <f t="shared" si="31"/>
        <v>2.5255378673454842</v>
      </c>
      <c r="K151" s="5">
        <f t="shared" si="32"/>
        <v>0.17999999999999999</v>
      </c>
      <c r="N151" s="5">
        <f t="shared" si="33"/>
        <v>16.199999999999999</v>
      </c>
      <c r="O151" s="5">
        <f t="shared" si="34"/>
        <v>39.337745951531325</v>
      </c>
      <c r="P151" s="6">
        <f t="shared" si="35"/>
        <v>135.40140968044898</v>
      </c>
      <c r="Q151" s="6"/>
      <c r="R151" s="6">
        <f t="shared" si="36"/>
        <v>3.3402809598056411</v>
      </c>
      <c r="S151" s="6">
        <f t="shared" si="37"/>
        <v>7.1762747130637958</v>
      </c>
      <c r="T151" s="6">
        <f t="shared" si="38"/>
        <v>7.1762747130637958</v>
      </c>
      <c r="U151" s="6">
        <f t="shared" si="39"/>
        <v>9.0062902646571423</v>
      </c>
      <c r="V151" s="6">
        <f t="shared" si="40"/>
        <v>9.0062902646571423</v>
      </c>
      <c r="W151" s="6">
        <f t="shared" si="41"/>
        <v>5.5301468395114988</v>
      </c>
      <c r="X151" s="6">
        <f t="shared" si="42"/>
        <v>10.568622824087207</v>
      </c>
      <c r="Y151" s="6">
        <f t="shared" si="43"/>
        <v>0.35403971356378194</v>
      </c>
    </row>
    <row r="152" ht="14.25">
      <c r="A152">
        <v>8</v>
      </c>
      <c r="B152">
        <f t="shared" si="25"/>
        <v>2.3999999999999999</v>
      </c>
      <c r="E152">
        <f t="shared" si="26"/>
        <v>0.12719999999999998</v>
      </c>
      <c r="F152">
        <f t="shared" si="27"/>
        <v>0.12719999999999998</v>
      </c>
      <c r="G152">
        <f t="shared" si="28"/>
        <v>2.41581085832444</v>
      </c>
      <c r="H152">
        <f t="shared" si="29"/>
        <v>2.41581085832444</v>
      </c>
      <c r="I152">
        <f t="shared" si="30"/>
        <v>-0.70972028291632094</v>
      </c>
      <c r="J152">
        <f t="shared" si="31"/>
        <v>2.5179048796928547</v>
      </c>
      <c r="K152" s="5">
        <f t="shared" si="32"/>
        <v>0.17999999999999999</v>
      </c>
      <c r="N152" s="5">
        <f t="shared" si="33"/>
        <v>14.4</v>
      </c>
      <c r="O152" s="5">
        <f t="shared" si="34"/>
        <v>35.065274090244529</v>
      </c>
      <c r="P152" s="6">
        <f t="shared" si="35"/>
        <v>136.57022571913697</v>
      </c>
      <c r="Q152" s="6"/>
      <c r="R152" s="6">
        <f t="shared" si="36"/>
        <v>3.1138399511574413</v>
      </c>
      <c r="S152" s="6">
        <f t="shared" si="37"/>
        <v>7.2382219631142597</v>
      </c>
      <c r="T152" s="6">
        <f t="shared" si="38"/>
        <v>7.2382219631142597</v>
      </c>
      <c r="U152" s="6">
        <f t="shared" si="39"/>
        <v>8.8287595484977377</v>
      </c>
      <c r="V152" s="6">
        <f t="shared" si="40"/>
        <v>8.8287595484977377</v>
      </c>
      <c r="W152" s="6">
        <f t="shared" si="41"/>
        <v>5.7708800075069702</v>
      </c>
      <c r="X152" s="6">
        <f t="shared" si="42"/>
        <v>10.547513983220577</v>
      </c>
      <c r="Y152" s="6">
        <f t="shared" si="43"/>
        <v>0.31558746681220073</v>
      </c>
    </row>
    <row r="153" ht="14.25">
      <c r="A153">
        <v>7</v>
      </c>
      <c r="B153">
        <f t="shared" si="25"/>
        <v>2.1000000000000001</v>
      </c>
      <c r="E153">
        <f t="shared" si="26"/>
        <v>0.1113</v>
      </c>
      <c r="F153">
        <f t="shared" si="27"/>
        <v>0.1113</v>
      </c>
      <c r="G153">
        <f t="shared" si="28"/>
        <v>2.4032570540806955</v>
      </c>
      <c r="H153">
        <f t="shared" si="29"/>
        <v>2.4032570540806955</v>
      </c>
      <c r="I153">
        <f t="shared" si="30"/>
        <v>-0.72562028291632097</v>
      </c>
      <c r="J153">
        <f t="shared" si="31"/>
        <v>2.5104121699370769</v>
      </c>
      <c r="K153" s="5">
        <f t="shared" si="32"/>
        <v>0.17999999999999999</v>
      </c>
      <c r="N153" s="5">
        <f t="shared" si="33"/>
        <v>12.6</v>
      </c>
      <c r="O153" s="5">
        <f t="shared" si="34"/>
        <v>30.758197036912495</v>
      </c>
      <c r="P153" s="6">
        <f t="shared" si="35"/>
        <v>137.6042634333634</v>
      </c>
      <c r="Q153" s="6"/>
      <c r="R153" s="6">
        <f t="shared" si="36"/>
        <v>2.8855648673308432</v>
      </c>
      <c r="S153" s="6">
        <f t="shared" si="37"/>
        <v>7.2930259619682598</v>
      </c>
      <c r="T153" s="6">
        <f t="shared" si="38"/>
        <v>7.2930259619682598</v>
      </c>
      <c r="U153" s="6">
        <f t="shared" si="39"/>
        <v>8.6437548214879669</v>
      </c>
      <c r="V153" s="6">
        <f t="shared" si="40"/>
        <v>8.6437548214879669</v>
      </c>
      <c r="W153" s="6">
        <f t="shared" si="41"/>
        <v>6.0059180136618222</v>
      </c>
      <c r="X153" s="6">
        <f t="shared" si="42"/>
        <v>10.525471419410346</v>
      </c>
      <c r="Y153" s="6">
        <f t="shared" si="43"/>
        <v>0.27682377333221247</v>
      </c>
    </row>
    <row r="154" ht="14.25">
      <c r="A154">
        <v>6</v>
      </c>
      <c r="B154">
        <f t="shared" si="25"/>
        <v>1.8</v>
      </c>
      <c r="E154">
        <f t="shared" si="26"/>
        <v>0.095399999999999999</v>
      </c>
      <c r="F154">
        <f t="shared" si="27"/>
        <v>0.095399999999999999</v>
      </c>
      <c r="G154">
        <f t="shared" si="28"/>
        <v>2.3907032498369505</v>
      </c>
      <c r="H154">
        <f t="shared" si="29"/>
        <v>2.3907032498369505</v>
      </c>
      <c r="I154">
        <f t="shared" si="30"/>
        <v>-0.74152028291632088</v>
      </c>
      <c r="J154">
        <f t="shared" si="31"/>
        <v>2.503060997809933</v>
      </c>
      <c r="K154" s="5">
        <f t="shared" si="32"/>
        <v>0.17999999999999999</v>
      </c>
      <c r="N154" s="5">
        <f t="shared" si="33"/>
        <v>10.800000000000001</v>
      </c>
      <c r="O154" s="5">
        <f t="shared" si="34"/>
        <v>26.420765356587172</v>
      </c>
      <c r="P154" s="6">
        <f t="shared" si="35"/>
        <v>138.5025023527451</v>
      </c>
      <c r="Q154" s="6"/>
      <c r="R154" s="6">
        <f t="shared" si="36"/>
        <v>2.6556809882736014</v>
      </c>
      <c r="S154" s="6">
        <f t="shared" si="37"/>
        <v>7.3406326246954903</v>
      </c>
      <c r="T154" s="6">
        <f t="shared" si="38"/>
        <v>7.3406326246954903</v>
      </c>
      <c r="U154" s="6">
        <f t="shared" si="39"/>
        <v>8.451458660957492</v>
      </c>
      <c r="V154" s="6">
        <f t="shared" si="40"/>
        <v>8.451458660957492</v>
      </c>
      <c r="W154" s="6">
        <f t="shared" si="41"/>
        <v>6.2350289038404574</v>
      </c>
      <c r="X154" s="6">
        <f t="shared" si="42"/>
        <v>10.502511077337617</v>
      </c>
      <c r="Y154" s="6">
        <f t="shared" si="43"/>
        <v>0.23778688820928454</v>
      </c>
    </row>
    <row r="155" ht="14.25">
      <c r="A155">
        <v>5</v>
      </c>
      <c r="B155">
        <f t="shared" si="25"/>
        <v>1.5</v>
      </c>
      <c r="E155">
        <f t="shared" si="26"/>
        <v>0.079500000000000001</v>
      </c>
      <c r="F155">
        <f t="shared" si="27"/>
        <v>0.079500000000000001</v>
      </c>
      <c r="G155">
        <f t="shared" si="28"/>
        <v>2.3781494455932055</v>
      </c>
      <c r="H155">
        <f t="shared" si="29"/>
        <v>2.3781494455932055</v>
      </c>
      <c r="I155">
        <f t="shared" si="30"/>
        <v>-0.75742028291632091</v>
      </c>
      <c r="J155">
        <f t="shared" si="31"/>
        <v>2.4958526139474482</v>
      </c>
      <c r="K155" s="5">
        <f t="shared" si="32"/>
        <v>0.17999999999999999</v>
      </c>
      <c r="N155" s="5">
        <f t="shared" si="33"/>
        <v>9</v>
      </c>
      <c r="O155" s="5">
        <f t="shared" si="34"/>
        <v>22.057259570672553</v>
      </c>
      <c r="P155" s="6">
        <f t="shared" si="35"/>
        <v>139.26405602391443</v>
      </c>
      <c r="Q155" s="6"/>
      <c r="R155" s="6">
        <f t="shared" si="36"/>
        <v>2.4244151816201267</v>
      </c>
      <c r="S155" s="6">
        <f t="shared" si="37"/>
        <v>7.3809949692674648</v>
      </c>
      <c r="T155" s="6">
        <f t="shared" si="38"/>
        <v>7.3809949692674648</v>
      </c>
      <c r="U155" s="6">
        <f t="shared" si="39"/>
        <v>8.2520608400005671</v>
      </c>
      <c r="V155" s="6">
        <f t="shared" si="40"/>
        <v>8.2520608400005671</v>
      </c>
      <c r="W155" s="6">
        <f t="shared" si="41"/>
        <v>6.4579865732551651</v>
      </c>
      <c r="X155" s="6">
        <f t="shared" si="42"/>
        <v>10.47864965954177</v>
      </c>
      <c r="Y155" s="6">
        <f t="shared" si="43"/>
        <v>0.19851533613605296</v>
      </c>
    </row>
    <row r="156" ht="14.25">
      <c r="A156">
        <v>4</v>
      </c>
      <c r="B156">
        <f t="shared" si="25"/>
        <v>1.2</v>
      </c>
      <c r="E156">
        <f t="shared" si="26"/>
        <v>0.06359999999999999</v>
      </c>
      <c r="F156">
        <f t="shared" si="27"/>
        <v>0.06359999999999999</v>
      </c>
      <c r="G156">
        <f t="shared" si="28"/>
        <v>2.365595641349461</v>
      </c>
      <c r="H156">
        <f t="shared" si="29"/>
        <v>2.365595641349461</v>
      </c>
      <c r="I156">
        <f t="shared" si="30"/>
        <v>-0.77332028291632093</v>
      </c>
      <c r="J156">
        <f t="shared" si="31"/>
        <v>2.488788259041204</v>
      </c>
      <c r="K156" s="5">
        <f t="shared" si="32"/>
        <v>0.17999999999999999</v>
      </c>
      <c r="N156" s="5">
        <f t="shared" si="33"/>
        <v>7.2000000000000002</v>
      </c>
      <c r="O156" s="5">
        <f t="shared" si="34"/>
        <v>17.671985932566901</v>
      </c>
      <c r="P156" s="6">
        <f t="shared" si="35"/>
        <v>139.88817288534139</v>
      </c>
      <c r="Q156" s="6"/>
      <c r="R156" s="6">
        <f t="shared" si="36"/>
        <v>2.1919956788005273</v>
      </c>
      <c r="S156" s="6">
        <f t="shared" si="37"/>
        <v>7.4140731629230938</v>
      </c>
      <c r="T156" s="6">
        <f t="shared" si="38"/>
        <v>7.4140731629230938</v>
      </c>
      <c r="U156" s="6">
        <f t="shared" si="39"/>
        <v>8.0457581401928842</v>
      </c>
      <c r="V156" s="6">
        <f t="shared" si="40"/>
        <v>8.0457581401928842</v>
      </c>
      <c r="W156" s="6">
        <f t="shared" si="41"/>
        <v>6.6745709896042369</v>
      </c>
      <c r="X156" s="6">
        <f t="shared" si="42"/>
        <v>10.453904626776854</v>
      </c>
      <c r="Y156" s="6">
        <f t="shared" si="43"/>
        <v>0.15904787339310211</v>
      </c>
    </row>
    <row r="157" ht="14.25">
      <c r="A157">
        <v>3</v>
      </c>
      <c r="B157">
        <f t="shared" si="25"/>
        <v>0.90000000000000002</v>
      </c>
      <c r="E157">
        <f t="shared" si="26"/>
        <v>0.047699999999999999</v>
      </c>
      <c r="F157">
        <f t="shared" si="27"/>
        <v>0.047699999999999999</v>
      </c>
      <c r="G157">
        <f t="shared" si="28"/>
        <v>2.353041837105716</v>
      </c>
      <c r="H157">
        <f t="shared" si="29"/>
        <v>2.353041837105716</v>
      </c>
      <c r="I157">
        <f t="shared" si="30"/>
        <v>-0.78922028291632096</v>
      </c>
      <c r="J157">
        <f t="shared" si="31"/>
        <v>2.4818691629770413</v>
      </c>
      <c r="K157" s="5">
        <f t="shared" si="32"/>
        <v>0.17999999999999999</v>
      </c>
      <c r="N157" s="5">
        <f t="shared" si="33"/>
        <v>5.4000000000000004</v>
      </c>
      <c r="O157" s="5">
        <f t="shared" si="34"/>
        <v>13.269272177910519</v>
      </c>
      <c r="P157" s="6">
        <f t="shared" si="35"/>
        <v>140.37423700903429</v>
      </c>
      <c r="Q157" s="6"/>
      <c r="R157" s="6">
        <f t="shared" si="36"/>
        <v>1.9586518498037386</v>
      </c>
      <c r="S157" s="6">
        <f t="shared" si="37"/>
        <v>7.4398345614788175</v>
      </c>
      <c r="T157" s="6">
        <f t="shared" si="38"/>
        <v>7.4398345614788175</v>
      </c>
      <c r="U157" s="6">
        <f t="shared" si="39"/>
        <v>7.8327541573919213</v>
      </c>
      <c r="V157" s="6">
        <f t="shared" si="40"/>
        <v>7.8327541573919213</v>
      </c>
      <c r="W157" s="6">
        <f t="shared" si="41"/>
        <v>6.884568410217291</v>
      </c>
      <c r="X157" s="6">
        <f t="shared" si="42"/>
        <v>10.428294198242696</v>
      </c>
      <c r="Y157" s="6">
        <f t="shared" si="43"/>
        <v>0.11942344960119469</v>
      </c>
    </row>
    <row r="158" ht="14.25">
      <c r="A158">
        <v>2</v>
      </c>
      <c r="B158">
        <f t="shared" si="25"/>
        <v>0.59999999999999998</v>
      </c>
      <c r="E158">
        <f t="shared" si="26"/>
        <v>0.031799999999999995</v>
      </c>
      <c r="F158">
        <f t="shared" si="27"/>
        <v>0.031799999999999995</v>
      </c>
      <c r="G158">
        <f t="shared" si="28"/>
        <v>2.340488032861971</v>
      </c>
      <c r="H158">
        <f t="shared" si="29"/>
        <v>2.340488032861971</v>
      </c>
      <c r="I158">
        <f t="shared" si="30"/>
        <v>-0.80512028291632087</v>
      </c>
      <c r="J158">
        <f t="shared" si="31"/>
        <v>2.4750965439621453</v>
      </c>
      <c r="K158" s="5">
        <f t="shared" si="32"/>
        <v>0.17999999999999999</v>
      </c>
      <c r="N158" s="5">
        <f t="shared" si="33"/>
        <v>3.6000000000000001</v>
      </c>
      <c r="O158" s="5">
        <f t="shared" si="34"/>
        <v>8.8534632536331852</v>
      </c>
      <c r="P158" s="6">
        <f t="shared" si="35"/>
        <v>140.72176870838629</v>
      </c>
      <c r="Q158" s="6"/>
      <c r="R158" s="6">
        <f t="shared" si="36"/>
        <v>1.7246139768170401</v>
      </c>
      <c r="S158" s="6">
        <f t="shared" si="37"/>
        <v>7.458253741544473</v>
      </c>
      <c r="T158" s="6">
        <f t="shared" si="38"/>
        <v>7.458253741544473</v>
      </c>
      <c r="U158" s="6">
        <f t="shared" si="39"/>
        <v>7.6132591008124262</v>
      </c>
      <c r="V158" s="6">
        <f t="shared" si="40"/>
        <v>7.6132591008124262</v>
      </c>
      <c r="W158" s="6">
        <f t="shared" si="41"/>
        <v>7.0877715929934766</v>
      </c>
      <c r="X158" s="6">
        <f t="shared" si="42"/>
        <v>10.401837351667663</v>
      </c>
      <c r="Y158" s="6">
        <f t="shared" si="43"/>
        <v>0.079681169282698666</v>
      </c>
    </row>
    <row r="159" ht="14.25">
      <c r="A159">
        <v>1</v>
      </c>
      <c r="B159">
        <f t="shared" si="25"/>
        <v>0.29999999999999999</v>
      </c>
      <c r="E159">
        <f t="shared" si="26"/>
        <v>0.015899999999999997</v>
      </c>
      <c r="F159">
        <f t="shared" si="27"/>
        <v>0.015899999999999997</v>
      </c>
      <c r="G159">
        <f t="shared" si="28"/>
        <v>2.3279342286182265</v>
      </c>
      <c r="H159">
        <f t="shared" si="29"/>
        <v>2.3279342286182265</v>
      </c>
      <c r="I159">
        <f t="shared" si="30"/>
        <v>-0.8210202829163209</v>
      </c>
      <c r="J159">
        <f t="shared" si="31"/>
        <v>2.4684716076415247</v>
      </c>
      <c r="K159" s="5">
        <f t="shared" si="32"/>
        <v>0.17999999999999999</v>
      </c>
      <c r="N159" s="5">
        <f t="shared" si="33"/>
        <v>1.8</v>
      </c>
      <c r="O159" s="5">
        <f t="shared" si="34"/>
        <v>4.4289170300160894</v>
      </c>
      <c r="P159" s="6">
        <f t="shared" si="35"/>
        <v>140.93042501156816</v>
      </c>
      <c r="Q159" s="6"/>
      <c r="R159" s="6">
        <f t="shared" si="36"/>
        <v>1.490113026965334</v>
      </c>
      <c r="S159" s="6">
        <f t="shared" si="37"/>
        <v>7.4693125256131125</v>
      </c>
      <c r="T159" s="6">
        <f t="shared" si="38"/>
        <v>7.4693125256131125</v>
      </c>
      <c r="U159" s="6">
        <f t="shared" si="39"/>
        <v>7.3874895855752829</v>
      </c>
      <c r="V159" s="6">
        <f t="shared" si="40"/>
        <v>7.3874895855752829</v>
      </c>
      <c r="W159" s="6">
        <f t="shared" si="41"/>
        <v>7.283980000924414</v>
      </c>
      <c r="X159" s="6">
        <f t="shared" si="42"/>
        <v>10.37455382321814</v>
      </c>
      <c r="Y159" s="6">
        <f t="shared" si="43"/>
        <v>0.039860253270144808</v>
      </c>
    </row>
    <row r="160" ht="14.25">
      <c r="A160">
        <v>0</v>
      </c>
      <c r="B160">
        <f t="shared" si="25"/>
        <v>0</v>
      </c>
      <c r="E160">
        <f t="shared" si="26"/>
        <v>0</v>
      </c>
      <c r="F160">
        <f t="shared" si="27"/>
        <v>0</v>
      </c>
      <c r="G160">
        <f t="shared" si="28"/>
        <v>2.3153804243744815</v>
      </c>
      <c r="H160">
        <f t="shared" si="29"/>
        <v>2.3153804243744815</v>
      </c>
      <c r="I160">
        <f t="shared" si="30"/>
        <v>-0.83692028291632092</v>
      </c>
      <c r="J160">
        <f t="shared" si="31"/>
        <v>2.4619955462050065</v>
      </c>
      <c r="K160" s="5">
        <f t="shared" si="32"/>
        <v>0.17999999999999999</v>
      </c>
      <c r="N160" s="5">
        <f t="shared" si="33"/>
        <v>0</v>
      </c>
      <c r="O160" s="5">
        <f t="shared" si="34"/>
        <v>0</v>
      </c>
      <c r="P160" s="6">
        <f t="shared" si="35"/>
        <v>141</v>
      </c>
      <c r="Q160" s="6"/>
      <c r="R160" s="6">
        <f t="shared" si="36"/>
        <v>1.2553804243744813</v>
      </c>
      <c r="S160" s="6">
        <f t="shared" si="37"/>
        <v>7.4729999999999999</v>
      </c>
      <c r="T160" s="6">
        <f t="shared" si="38"/>
        <v>7.4729999999999999</v>
      </c>
      <c r="U160" s="6">
        <f t="shared" si="39"/>
        <v>7.1556684189345434</v>
      </c>
      <c r="V160" s="6">
        <f t="shared" si="40"/>
        <v>7.1556684189345434</v>
      </c>
      <c r="W160" s="6">
        <f t="shared" si="41"/>
        <v>7.4729999999999999</v>
      </c>
      <c r="X160" s="6">
        <f t="shared" si="42"/>
        <v>10.346464107207698</v>
      </c>
      <c r="Y160" s="6">
        <f t="shared" si="43"/>
        <v>0</v>
      </c>
    </row>
    <row r="161" ht="14.25">
      <c r="A161">
        <v>-1</v>
      </c>
      <c r="B161">
        <f t="shared" si="25"/>
        <v>-0.29999999999999999</v>
      </c>
      <c r="E161">
        <f t="shared" si="26"/>
        <v>-0.015899999999999997</v>
      </c>
      <c r="F161">
        <f t="shared" si="27"/>
        <v>-0.015899999999999997</v>
      </c>
      <c r="G161">
        <f t="shared" si="28"/>
        <v>2.3028266201307366</v>
      </c>
      <c r="H161">
        <f t="shared" si="29"/>
        <v>2.3028266201307366</v>
      </c>
      <c r="I161">
        <f t="shared" si="30"/>
        <v>-0.85282028291632095</v>
      </c>
      <c r="J161">
        <f t="shared" si="31"/>
        <v>2.4556695374859023</v>
      </c>
      <c r="K161" s="5">
        <f t="shared" si="32"/>
        <v>0.17999999999999999</v>
      </c>
      <c r="N161" s="5">
        <f t="shared" si="33"/>
        <v>-1.8</v>
      </c>
      <c r="O161" s="5">
        <f t="shared" si="34"/>
        <v>-4.4289170300160894</v>
      </c>
      <c r="P161" s="6">
        <f t="shared" si="35"/>
        <v>140.93042501156816</v>
      </c>
      <c r="Q161" s="6"/>
      <c r="R161" s="6">
        <f t="shared" si="36"/>
        <v>1.0206478217836286</v>
      </c>
      <c r="S161" s="6">
        <f t="shared" si="37"/>
        <v>7.4693125256131125</v>
      </c>
      <c r="T161" s="6">
        <f t="shared" si="38"/>
        <v>7.4693125256131125</v>
      </c>
      <c r="U161" s="6">
        <f t="shared" si="39"/>
        <v>6.918024380393577</v>
      </c>
      <c r="V161" s="6">
        <f t="shared" si="40"/>
        <v>6.918024380393577</v>
      </c>
      <c r="W161" s="6">
        <f t="shared" si="41"/>
        <v>7.6546450503018111</v>
      </c>
      <c r="X161" s="6">
        <f t="shared" si="42"/>
        <v>10.317589455576819</v>
      </c>
      <c r="Y161" s="6">
        <f t="shared" si="43"/>
        <v>-0.039860253270144808</v>
      </c>
    </row>
    <row r="162" ht="14.25">
      <c r="A162">
        <v>-2</v>
      </c>
      <c r="B162">
        <f t="shared" si="25"/>
        <v>-0.59999999999999998</v>
      </c>
      <c r="E162">
        <f t="shared" si="26"/>
        <v>-0.031799999999999995</v>
      </c>
      <c r="F162">
        <f t="shared" si="27"/>
        <v>-0.031799999999999995</v>
      </c>
      <c r="G162">
        <f t="shared" si="28"/>
        <v>2.2902728158869921</v>
      </c>
      <c r="H162">
        <f t="shared" si="29"/>
        <v>2.2902728158869921</v>
      </c>
      <c r="I162">
        <f t="shared" si="30"/>
        <v>-0.86872028291632097</v>
      </c>
      <c r="J162">
        <f t="shared" si="31"/>
        <v>2.4494947440525658</v>
      </c>
      <c r="K162" s="5">
        <f t="shared" si="32"/>
        <v>0.17999999999999999</v>
      </c>
      <c r="N162" s="5">
        <f t="shared" si="33"/>
        <v>-3.6000000000000001</v>
      </c>
      <c r="O162" s="5">
        <f t="shared" si="34"/>
        <v>-8.8534632536331852</v>
      </c>
      <c r="P162" s="6">
        <f t="shared" si="35"/>
        <v>140.72176870838629</v>
      </c>
      <c r="Q162" s="6"/>
      <c r="R162" s="6">
        <f t="shared" si="36"/>
        <v>0.78614687193192245</v>
      </c>
      <c r="S162" s="6">
        <f t="shared" si="37"/>
        <v>7.458253741544473</v>
      </c>
      <c r="T162" s="6">
        <f t="shared" si="38"/>
        <v>7.458253741544473</v>
      </c>
      <c r="U162" s="6">
        <f t="shared" si="39"/>
        <v>6.6747919959273085</v>
      </c>
      <c r="V162" s="6">
        <f t="shared" si="40"/>
        <v>6.6747919959273085</v>
      </c>
      <c r="W162" s="6">
        <f t="shared" si="41"/>
        <v>7.8287358900954693</v>
      </c>
      <c r="X162" s="6">
        <f t="shared" si="42"/>
        <v>10.287951877111604</v>
      </c>
      <c r="Y162" s="6">
        <f t="shared" si="43"/>
        <v>-0.079681169282698666</v>
      </c>
    </row>
    <row r="163" ht="14.25">
      <c r="A163">
        <v>-3</v>
      </c>
      <c r="B163">
        <f t="shared" si="25"/>
        <v>-0.90000000000000002</v>
      </c>
      <c r="E163">
        <f t="shared" si="26"/>
        <v>-0.047699999999999999</v>
      </c>
      <c r="F163">
        <f t="shared" si="27"/>
        <v>-0.047699999999999999</v>
      </c>
      <c r="G163">
        <f t="shared" si="28"/>
        <v>2.2777190116432471</v>
      </c>
      <c r="H163">
        <f t="shared" si="29"/>
        <v>2.2777190116432471</v>
      </c>
      <c r="I163">
        <f t="shared" si="30"/>
        <v>-0.88462028291632089</v>
      </c>
      <c r="J163">
        <f t="shared" si="31"/>
        <v>2.443472312294134</v>
      </c>
      <c r="K163" s="5">
        <f t="shared" si="32"/>
        <v>0.17999999999999999</v>
      </c>
      <c r="N163" s="5">
        <f t="shared" si="33"/>
        <v>-5.4000000000000004</v>
      </c>
      <c r="O163" s="5">
        <f t="shared" si="34"/>
        <v>-13.269272177910519</v>
      </c>
      <c r="P163" s="6">
        <f t="shared" si="35"/>
        <v>140.37423700903429</v>
      </c>
      <c r="Q163" s="6"/>
      <c r="R163" s="6">
        <f t="shared" si="36"/>
        <v>0.55210899894522381</v>
      </c>
      <c r="S163" s="6">
        <f t="shared" si="37"/>
        <v>7.4398345614788175</v>
      </c>
      <c r="T163" s="6">
        <f t="shared" si="38"/>
        <v>7.4398345614788175</v>
      </c>
      <c r="U163" s="6">
        <f t="shared" si="39"/>
        <v>6.426211306533407</v>
      </c>
      <c r="V163" s="6">
        <f t="shared" si="40"/>
        <v>6.426211306533407</v>
      </c>
      <c r="W163" s="6">
        <f t="shared" si="41"/>
        <v>7.995100712740344</v>
      </c>
      <c r="X163" s="6">
        <f t="shared" si="42"/>
        <v>10.257574136367669</v>
      </c>
      <c r="Y163" s="6">
        <f t="shared" si="43"/>
        <v>-0.11942344960119469</v>
      </c>
    </row>
    <row r="164" ht="14.25">
      <c r="A164">
        <v>-4</v>
      </c>
      <c r="B164">
        <f t="shared" ref="B164:B227" si="44">$B$27*A164/100</f>
        <v>-1.2</v>
      </c>
      <c r="E164">
        <f t="shared" ref="E164:E227" si="45">B164*$B$7</f>
        <v>-0.06359999999999999</v>
      </c>
      <c r="F164">
        <f t="shared" ref="F164:F227" si="46">E164</f>
        <v>-0.06359999999999999</v>
      </c>
      <c r="G164">
        <f t="shared" ref="G164:G227" si="47">$D$60+B164*$B$8*$B$14</f>
        <v>2.2651652073995021</v>
      </c>
      <c r="H164">
        <f t="shared" ref="H164:H227" si="48">G164</f>
        <v>2.2651652073995021</v>
      </c>
      <c r="I164">
        <f t="shared" ref="I164:I227" si="49">E164-$B$26*$B$14*$B$9</f>
        <v>-0.90052028291632091</v>
      </c>
      <c r="J164">
        <f t="shared" ref="J164:J227" si="50">SQRT(I164*I164+H164*H164)</f>
        <v>2.4376033715017953</v>
      </c>
      <c r="K164" s="5">
        <f t="shared" ref="K164:K227" si="51">1.5*$B$13*($B$26*$B$6+$B$26*B164*($B$8-$B$9))</f>
        <v>0.17999999999999999</v>
      </c>
      <c r="N164" s="5">
        <f t="shared" ref="N164:N227" si="52">180*A164/100</f>
        <v>-7.2000000000000002</v>
      </c>
      <c r="O164" s="5">
        <f t="shared" ref="O164:O227" si="53">$B$31*SIN(N164/180*PI())</f>
        <v>-17.671985932566901</v>
      </c>
      <c r="P164" s="6">
        <f t="shared" ref="P164:P227" si="54">$B$31*COS(N164/180*PI())</f>
        <v>139.88817288534139</v>
      </c>
      <c r="Q164" s="6"/>
      <c r="R164" s="6">
        <f t="shared" ref="R164:R227" si="55">$Q$60+O164*$B$7</f>
        <v>0.31876516994843551</v>
      </c>
      <c r="S164" s="6">
        <f t="shared" ref="S164:S227" si="56">P164*$B$7</f>
        <v>7.4140731629230938</v>
      </c>
      <c r="T164" s="6">
        <f t="shared" ref="T164:T227" si="57">S164</f>
        <v>7.4140731629230938</v>
      </c>
      <c r="U164" s="6">
        <f t="shared" ref="U164:U227" si="58">R164+P164*$B$8*$B$14</f>
        <v>6.1725276313407917</v>
      </c>
      <c r="V164" s="6">
        <f t="shared" ref="V164:V227" si="59">U164</f>
        <v>6.1725276313407917</v>
      </c>
      <c r="W164" s="6">
        <f t="shared" ref="W164:W227" si="60">S164-O164*$B$14*$B$9</f>
        <v>8.1535753362419499</v>
      </c>
      <c r="X164" s="6">
        <f t="shared" ref="X164:X227" si="61">SQRT(W164*W164+V164*V164)</f>
        <v>10.226479752262682</v>
      </c>
      <c r="Y164" s="6">
        <f t="shared" ref="Y164:Y227" si="62">1.5*$B$13*(O164*$B$6+O164*P164*($B$8-$B$9))</f>
        <v>-0.15904787339310211</v>
      </c>
    </row>
    <row r="165" ht="14.25">
      <c r="A165">
        <v>-5</v>
      </c>
      <c r="B165">
        <f t="shared" si="44"/>
        <v>-1.5</v>
      </c>
      <c r="E165">
        <f t="shared" si="45"/>
        <v>-0.079500000000000001</v>
      </c>
      <c r="F165">
        <f t="shared" si="46"/>
        <v>-0.079500000000000001</v>
      </c>
      <c r="G165">
        <f t="shared" si="47"/>
        <v>2.2526114031557576</v>
      </c>
      <c r="H165">
        <f t="shared" si="48"/>
        <v>2.2526114031557576</v>
      </c>
      <c r="I165">
        <f t="shared" si="49"/>
        <v>-0.91642028291632094</v>
      </c>
      <c r="J165">
        <f t="shared" si="50"/>
        <v>2.4318890329469767</v>
      </c>
      <c r="K165" s="5">
        <f t="shared" si="51"/>
        <v>0.17999999999999999</v>
      </c>
      <c r="N165" s="5">
        <f t="shared" si="52"/>
        <v>-9</v>
      </c>
      <c r="O165" s="5">
        <f t="shared" si="53"/>
        <v>-22.057259570672553</v>
      </c>
      <c r="P165" s="6">
        <f t="shared" si="54"/>
        <v>139.26405602391443</v>
      </c>
      <c r="Q165" s="6"/>
      <c r="R165" s="6">
        <f t="shared" si="55"/>
        <v>0.086345667128836068</v>
      </c>
      <c r="S165" s="6">
        <f t="shared" si="56"/>
        <v>7.3809949692674648</v>
      </c>
      <c r="T165" s="6">
        <f t="shared" si="57"/>
        <v>7.3809949692674648</v>
      </c>
      <c r="U165" s="6">
        <f t="shared" si="58"/>
        <v>5.9139913255092775</v>
      </c>
      <c r="V165" s="6">
        <f t="shared" si="59"/>
        <v>5.9139913255092775</v>
      </c>
      <c r="W165" s="6">
        <f t="shared" si="60"/>
        <v>8.3040033652797653</v>
      </c>
      <c r="X165" s="6">
        <f t="shared" si="61"/>
        <v>10.19469299629845</v>
      </c>
      <c r="Y165" s="6">
        <f t="shared" si="62"/>
        <v>-0.19851533613605296</v>
      </c>
    </row>
    <row r="166" ht="14.25">
      <c r="A166">
        <v>-6</v>
      </c>
      <c r="B166">
        <f t="shared" si="44"/>
        <v>-1.8</v>
      </c>
      <c r="E166">
        <f t="shared" si="45"/>
        <v>-0.095399999999999999</v>
      </c>
      <c r="F166">
        <f t="shared" si="46"/>
        <v>-0.095399999999999999</v>
      </c>
      <c r="G166">
        <f t="shared" si="47"/>
        <v>2.2400575989120126</v>
      </c>
      <c r="H166">
        <f t="shared" si="48"/>
        <v>2.2400575989120126</v>
      </c>
      <c r="I166">
        <f t="shared" si="49"/>
        <v>-0.93232028291632096</v>
      </c>
      <c r="J166">
        <f t="shared" si="50"/>
        <v>2.4263303889579055</v>
      </c>
      <c r="K166" s="5">
        <f t="shared" si="51"/>
        <v>0.17999999999999999</v>
      </c>
      <c r="N166" s="5">
        <f t="shared" si="52"/>
        <v>-10.800000000000001</v>
      </c>
      <c r="O166" s="5">
        <f t="shared" si="53"/>
        <v>-26.420765356587172</v>
      </c>
      <c r="P166" s="6">
        <f t="shared" si="54"/>
        <v>138.5025023527451</v>
      </c>
      <c r="Q166" s="6"/>
      <c r="R166" s="6">
        <f t="shared" si="55"/>
        <v>-0.14492013952463889</v>
      </c>
      <c r="S166" s="6">
        <f t="shared" si="56"/>
        <v>7.3406326246954903</v>
      </c>
      <c r="T166" s="6">
        <f t="shared" si="57"/>
        <v>7.3406326246954903</v>
      </c>
      <c r="U166" s="6">
        <f t="shared" si="58"/>
        <v>5.6508575331592521</v>
      </c>
      <c r="V166" s="6">
        <f t="shared" si="59"/>
        <v>5.6508575331592521</v>
      </c>
      <c r="W166" s="6">
        <f t="shared" si="60"/>
        <v>8.446236345550524</v>
      </c>
      <c r="X166" s="6">
        <f t="shared" si="61"/>
        <v>10.162238890370633</v>
      </c>
      <c r="Y166" s="6">
        <f t="shared" si="62"/>
        <v>-0.23778688820928454</v>
      </c>
    </row>
    <row r="167" ht="14.25">
      <c r="A167">
        <v>-7</v>
      </c>
      <c r="B167">
        <f t="shared" si="44"/>
        <v>-2.1000000000000001</v>
      </c>
      <c r="E167">
        <f t="shared" si="45"/>
        <v>-0.1113</v>
      </c>
      <c r="F167">
        <f t="shared" si="46"/>
        <v>-0.1113</v>
      </c>
      <c r="G167">
        <f t="shared" si="47"/>
        <v>2.2275037946682676</v>
      </c>
      <c r="H167">
        <f t="shared" si="48"/>
        <v>2.2275037946682676</v>
      </c>
      <c r="I167">
        <f t="shared" si="49"/>
        <v>-0.94822028291632088</v>
      </c>
      <c r="J167">
        <f t="shared" si="50"/>
        <v>2.4209285119960562</v>
      </c>
      <c r="K167" s="5">
        <f t="shared" si="51"/>
        <v>0.17999999999999999</v>
      </c>
      <c r="N167" s="5">
        <f t="shared" si="52"/>
        <v>-12.6</v>
      </c>
      <c r="O167" s="5">
        <f t="shared" si="53"/>
        <v>-30.758197036912495</v>
      </c>
      <c r="P167" s="6">
        <f t="shared" si="54"/>
        <v>137.6042634333634</v>
      </c>
      <c r="Q167" s="6"/>
      <c r="R167" s="6">
        <f t="shared" si="55"/>
        <v>-0.37480401858188084</v>
      </c>
      <c r="S167" s="6">
        <f t="shared" si="56"/>
        <v>7.2930259619682598</v>
      </c>
      <c r="T167" s="6">
        <f t="shared" si="57"/>
        <v>7.2930259619682598</v>
      </c>
      <c r="U167" s="6">
        <f t="shared" si="58"/>
        <v>5.3833859355752418</v>
      </c>
      <c r="V167" s="6">
        <f t="shared" si="59"/>
        <v>5.3833859355752418</v>
      </c>
      <c r="W167" s="6">
        <f t="shared" si="60"/>
        <v>8.5801339102746965</v>
      </c>
      <c r="X167" s="6">
        <f t="shared" si="61"/>
        <v>10.129143204121219</v>
      </c>
      <c r="Y167" s="6">
        <f t="shared" si="62"/>
        <v>-0.27682377333221247</v>
      </c>
    </row>
    <row r="168" ht="14.25">
      <c r="A168">
        <v>-8</v>
      </c>
      <c r="B168">
        <f t="shared" si="44"/>
        <v>-2.3999999999999999</v>
      </c>
      <c r="E168">
        <f t="shared" si="45"/>
        <v>-0.12719999999999998</v>
      </c>
      <c r="F168">
        <f t="shared" si="46"/>
        <v>-0.12719999999999998</v>
      </c>
      <c r="G168">
        <f t="shared" si="47"/>
        <v>2.2149499904245231</v>
      </c>
      <c r="H168">
        <f t="shared" si="48"/>
        <v>2.2149499904245231</v>
      </c>
      <c r="I168">
        <f t="shared" si="49"/>
        <v>-0.9641202829163209</v>
      </c>
      <c r="J168">
        <f t="shared" si="50"/>
        <v>2.4156844537340221</v>
      </c>
      <c r="K168" s="5">
        <f t="shared" si="51"/>
        <v>0.17999999999999999</v>
      </c>
      <c r="N168" s="5">
        <f t="shared" si="52"/>
        <v>-14.4</v>
      </c>
      <c r="O168" s="5">
        <f t="shared" si="53"/>
        <v>-35.065274090244529</v>
      </c>
      <c r="P168" s="6">
        <f t="shared" si="54"/>
        <v>136.57022571913697</v>
      </c>
      <c r="Q168" s="6"/>
      <c r="R168" s="6">
        <f t="shared" si="55"/>
        <v>-0.60307910240847873</v>
      </c>
      <c r="S168" s="6">
        <f t="shared" si="56"/>
        <v>7.2382219631142597</v>
      </c>
      <c r="T168" s="6">
        <f t="shared" si="57"/>
        <v>7.2382219631142597</v>
      </c>
      <c r="U168" s="6">
        <f t="shared" si="58"/>
        <v>5.1118404949318172</v>
      </c>
      <c r="V168" s="6">
        <f t="shared" si="59"/>
        <v>5.1118404949318172</v>
      </c>
      <c r="W168" s="6">
        <f t="shared" si="60"/>
        <v>8.7055639187215483</v>
      </c>
      <c r="X168" s="6">
        <f t="shared" si="61"/>
        <v>10.09543245178587</v>
      </c>
      <c r="Y168" s="6">
        <f t="shared" si="62"/>
        <v>-0.31558746681220073</v>
      </c>
    </row>
    <row r="169" ht="14.25">
      <c r="A169">
        <v>-9</v>
      </c>
      <c r="B169">
        <f t="shared" si="44"/>
        <v>-2.7000000000000002</v>
      </c>
      <c r="E169">
        <f t="shared" si="45"/>
        <v>-0.1431</v>
      </c>
      <c r="F169">
        <f t="shared" si="46"/>
        <v>-0.1431</v>
      </c>
      <c r="G169">
        <f t="shared" si="47"/>
        <v>2.2023961861807781</v>
      </c>
      <c r="H169">
        <f t="shared" si="48"/>
        <v>2.2023961861807781</v>
      </c>
      <c r="I169">
        <f t="shared" si="49"/>
        <v>-0.98002028291632093</v>
      </c>
      <c r="J169">
        <f t="shared" si="50"/>
        <v>2.4105992441364079</v>
      </c>
      <c r="K169" s="5">
        <f t="shared" si="51"/>
        <v>0.17999999999999999</v>
      </c>
      <c r="N169" s="5">
        <f t="shared" si="52"/>
        <v>-16.199999999999999</v>
      </c>
      <c r="O169" s="5">
        <f t="shared" si="53"/>
        <v>-39.337745951531325</v>
      </c>
      <c r="P169" s="6">
        <f t="shared" si="54"/>
        <v>135.40140968044898</v>
      </c>
      <c r="Q169" s="6"/>
      <c r="R169" s="6">
        <f t="shared" si="55"/>
        <v>-0.82952011105667878</v>
      </c>
      <c r="S169" s="6">
        <f t="shared" si="56"/>
        <v>7.1762747130637958</v>
      </c>
      <c r="T169" s="6">
        <f t="shared" si="57"/>
        <v>7.1762747130637958</v>
      </c>
      <c r="U169" s="6">
        <f t="shared" si="58"/>
        <v>4.8364891937948222</v>
      </c>
      <c r="V169" s="6">
        <f t="shared" si="59"/>
        <v>4.8364891937948222</v>
      </c>
      <c r="W169" s="6">
        <f t="shared" si="60"/>
        <v>8.8224025866160929</v>
      </c>
      <c r="X169" s="6">
        <f t="shared" si="61"/>
        <v>10.061133888485156</v>
      </c>
      <c r="Y169" s="6">
        <f t="shared" si="62"/>
        <v>-0.35403971356378194</v>
      </c>
    </row>
    <row r="170" ht="14.25">
      <c r="A170">
        <v>-10</v>
      </c>
      <c r="B170">
        <f t="shared" si="44"/>
        <v>-3</v>
      </c>
      <c r="E170">
        <f t="shared" si="45"/>
        <v>-0.159</v>
      </c>
      <c r="F170">
        <f t="shared" si="46"/>
        <v>-0.159</v>
      </c>
      <c r="G170">
        <f t="shared" si="47"/>
        <v>2.1898423819370336</v>
      </c>
      <c r="H170">
        <f t="shared" si="48"/>
        <v>2.1898423819370336</v>
      </c>
      <c r="I170">
        <f t="shared" si="49"/>
        <v>-0.99592028291632095</v>
      </c>
      <c r="J170">
        <f t="shared" si="50"/>
        <v>2.4056738905453883</v>
      </c>
      <c r="K170" s="5">
        <f t="shared" si="51"/>
        <v>0.17999999999999999</v>
      </c>
      <c r="N170" s="5">
        <f t="shared" si="52"/>
        <v>-18</v>
      </c>
      <c r="O170" s="5">
        <f t="shared" si="53"/>
        <v>-43.571396206867583</v>
      </c>
      <c r="P170" s="6">
        <f t="shared" si="54"/>
        <v>134.09896879761664</v>
      </c>
      <c r="Q170" s="6"/>
      <c r="R170" s="6">
        <f t="shared" si="55"/>
        <v>-1.0539035745895007</v>
      </c>
      <c r="S170" s="6">
        <f t="shared" si="56"/>
        <v>7.1072453462736815</v>
      </c>
      <c r="T170" s="6">
        <f t="shared" si="57"/>
        <v>7.1072453462736815</v>
      </c>
      <c r="U170" s="6">
        <f t="shared" si="58"/>
        <v>4.5576037706549091</v>
      </c>
      <c r="V170" s="6">
        <f t="shared" si="59"/>
        <v>4.5576037706549091</v>
      </c>
      <c r="W170" s="6">
        <f t="shared" si="60"/>
        <v>8.9305346082992187</v>
      </c>
      <c r="X170" s="6">
        <f t="shared" si="61"/>
        <v>10.026275505905367</v>
      </c>
      <c r="Y170" s="6">
        <f t="shared" si="62"/>
        <v>-0.39214256586180823</v>
      </c>
    </row>
    <row r="171" ht="14.25">
      <c r="A171">
        <v>-11</v>
      </c>
      <c r="B171">
        <f t="shared" si="44"/>
        <v>-3.2999999999999998</v>
      </c>
      <c r="E171">
        <f t="shared" si="45"/>
        <v>-0.17489999999999997</v>
      </c>
      <c r="F171">
        <f t="shared" si="46"/>
        <v>-0.17489999999999997</v>
      </c>
      <c r="G171">
        <f t="shared" si="47"/>
        <v>2.1772885776932887</v>
      </c>
      <c r="H171">
        <f t="shared" si="48"/>
        <v>2.1772885776932887</v>
      </c>
      <c r="I171">
        <f t="shared" si="49"/>
        <v>-1.011820282916321</v>
      </c>
      <c r="J171">
        <f t="shared" si="50"/>
        <v>2.4009093767725864</v>
      </c>
      <c r="K171" s="5">
        <f t="shared" si="51"/>
        <v>0.17999999999999999</v>
      </c>
      <c r="N171" s="5">
        <f t="shared" si="52"/>
        <v>-19.800000000000001</v>
      </c>
      <c r="O171" s="5">
        <f t="shared" si="53"/>
        <v>-47.762046754586081</v>
      </c>
      <c r="P171" s="6">
        <f t="shared" si="54"/>
        <v>132.66418842254578</v>
      </c>
      <c r="Q171" s="6"/>
      <c r="R171" s="6">
        <f t="shared" si="55"/>
        <v>-1.2760080536185809</v>
      </c>
      <c r="S171" s="6">
        <f t="shared" si="56"/>
        <v>7.031201986394926</v>
      </c>
      <c r="T171" s="6">
        <f t="shared" si="57"/>
        <v>7.031201986394926</v>
      </c>
      <c r="U171" s="6">
        <f t="shared" si="58"/>
        <v>4.2754594517544753</v>
      </c>
      <c r="V171" s="6">
        <f t="shared" si="59"/>
        <v>4.2754594517544753</v>
      </c>
      <c r="W171" s="6">
        <f t="shared" si="60"/>
        <v>9.0298532705204622</v>
      </c>
      <c r="X171" s="6">
        <f t="shared" si="61"/>
        <v>9.9908860273113795</v>
      </c>
      <c r="Y171" s="6">
        <f t="shared" si="62"/>
        <v>-0.42985842079127473</v>
      </c>
    </row>
    <row r="172" ht="14.25">
      <c r="A172">
        <v>-12</v>
      </c>
      <c r="B172">
        <f t="shared" si="44"/>
        <v>-3.6000000000000001</v>
      </c>
      <c r="E172">
        <f t="shared" si="45"/>
        <v>-0.1908</v>
      </c>
      <c r="F172">
        <f t="shared" si="46"/>
        <v>-0.1908</v>
      </c>
      <c r="G172">
        <f t="shared" si="47"/>
        <v>2.1647347734495437</v>
      </c>
      <c r="H172">
        <f t="shared" si="48"/>
        <v>2.1647347734495437</v>
      </c>
      <c r="I172">
        <f t="shared" si="49"/>
        <v>-1.027720282916321</v>
      </c>
      <c r="J172">
        <f t="shared" si="50"/>
        <v>2.3963066621989868</v>
      </c>
      <c r="K172" s="5">
        <f t="shared" si="51"/>
        <v>0.17999999999999999</v>
      </c>
      <c r="N172" s="5">
        <f t="shared" si="52"/>
        <v>-21.600000000000001</v>
      </c>
      <c r="O172" s="5">
        <f t="shared" si="53"/>
        <v>-51.905561928539598</v>
      </c>
      <c r="P172" s="6">
        <f t="shared" si="54"/>
        <v>131.09848451024345</v>
      </c>
      <c r="Q172" s="6"/>
      <c r="R172" s="6">
        <f t="shared" si="55"/>
        <v>-1.4956143578381174</v>
      </c>
      <c r="S172" s="6">
        <f t="shared" si="56"/>
        <v>6.9482196790429027</v>
      </c>
      <c r="T172" s="6">
        <f t="shared" si="57"/>
        <v>6.9482196790429027</v>
      </c>
      <c r="U172" s="6">
        <f t="shared" si="58"/>
        <v>3.9903346794725767</v>
      </c>
      <c r="V172" s="6">
        <f t="shared" si="59"/>
        <v>3.9903346794725767</v>
      </c>
      <c r="W172" s="6">
        <f t="shared" si="60"/>
        <v>9.1202605577511022</v>
      </c>
      <c r="X172" s="6">
        <f t="shared" si="61"/>
        <v>9.9549949018305366</v>
      </c>
      <c r="Y172" s="6">
        <f t="shared" si="62"/>
        <v>-0.46715005735685633</v>
      </c>
    </row>
    <row r="173" ht="14.25">
      <c r="A173">
        <v>-13</v>
      </c>
      <c r="B173">
        <f t="shared" si="44"/>
        <v>-3.8999999999999999</v>
      </c>
      <c r="E173">
        <f t="shared" si="45"/>
        <v>-0.20669999999999999</v>
      </c>
      <c r="F173">
        <f t="shared" si="46"/>
        <v>-0.20669999999999999</v>
      </c>
      <c r="G173">
        <f t="shared" si="47"/>
        <v>2.1521809692057992</v>
      </c>
      <c r="H173">
        <f t="shared" si="48"/>
        <v>2.1521809692057992</v>
      </c>
      <c r="I173">
        <f t="shared" si="49"/>
        <v>-1.0436202829163208</v>
      </c>
      <c r="J173">
        <f t="shared" si="50"/>
        <v>2.391866680884609</v>
      </c>
      <c r="K173" s="5">
        <f t="shared" si="51"/>
        <v>0.17999999999999999</v>
      </c>
      <c r="N173" s="5">
        <f t="shared" si="52"/>
        <v>-23.399999999999999</v>
      </c>
      <c r="O173" s="5">
        <f t="shared" si="53"/>
        <v>-55.99785257950407</v>
      </c>
      <c r="P173" s="6">
        <f t="shared" si="54"/>
        <v>129.40340222144135</v>
      </c>
      <c r="Q173" s="6"/>
      <c r="R173" s="6">
        <f t="shared" si="55"/>
        <v>-1.7125057623392343</v>
      </c>
      <c r="S173" s="6">
        <f t="shared" si="56"/>
        <v>6.8583803177363913</v>
      </c>
      <c r="T173" s="6">
        <f t="shared" si="57"/>
        <v>6.8583803177363913</v>
      </c>
      <c r="U173" s="6">
        <f t="shared" si="58"/>
        <v>3.7025108375359235</v>
      </c>
      <c r="V173" s="6">
        <f t="shared" si="59"/>
        <v>3.7025108375359235</v>
      </c>
      <c r="W173" s="6">
        <f t="shared" si="60"/>
        <v>9.2016672489136404</v>
      </c>
      <c r="X173" s="6">
        <f t="shared" si="61"/>
        <v>9.9186322979431445</v>
      </c>
      <c r="Y173" s="6">
        <f t="shared" si="62"/>
        <v>-0.50398067321553663</v>
      </c>
    </row>
    <row r="174" ht="14.25">
      <c r="A174">
        <v>-14</v>
      </c>
      <c r="B174">
        <f t="shared" si="44"/>
        <v>-4.2000000000000002</v>
      </c>
      <c r="E174">
        <f t="shared" si="45"/>
        <v>-0.22259999999999999</v>
      </c>
      <c r="F174">
        <f t="shared" si="46"/>
        <v>-0.22259999999999999</v>
      </c>
      <c r="G174">
        <f t="shared" si="47"/>
        <v>2.1396271649620542</v>
      </c>
      <c r="H174">
        <f t="shared" si="48"/>
        <v>2.1396271649620542</v>
      </c>
      <c r="I174">
        <f t="shared" si="49"/>
        <v>-1.0595202829163208</v>
      </c>
      <c r="J174">
        <f t="shared" si="50"/>
        <v>2.387590340689675</v>
      </c>
      <c r="K174" s="5">
        <f t="shared" si="51"/>
        <v>0.17999999999999999</v>
      </c>
      <c r="N174" s="5">
        <f t="shared" si="52"/>
        <v>-25.199999999999999</v>
      </c>
      <c r="O174" s="5">
        <f t="shared" si="53"/>
        <v>-60.034880110675239</v>
      </c>
      <c r="P174" s="6">
        <f t="shared" si="54"/>
        <v>127.58061439770876</v>
      </c>
      <c r="Q174" s="6"/>
      <c r="R174" s="6">
        <f t="shared" si="55"/>
        <v>-1.9264682214913063</v>
      </c>
      <c r="S174" s="6">
        <f t="shared" si="56"/>
        <v>6.7617725630785639</v>
      </c>
      <c r="T174" s="6">
        <f t="shared" si="57"/>
        <v>6.7617725630785639</v>
      </c>
      <c r="U174" s="6">
        <f t="shared" si="58"/>
        <v>3.4122719733271172</v>
      </c>
      <c r="V174" s="6">
        <f t="shared" si="59"/>
        <v>3.4122719733271172</v>
      </c>
      <c r="W174" s="6">
        <f t="shared" si="60"/>
        <v>9.2739930054322492</v>
      </c>
      <c r="X174" s="6">
        <f t="shared" si="61"/>
        <v>9.8818290961117121</v>
      </c>
      <c r="Y174" s="6">
        <f t="shared" si="62"/>
        <v>-0.54031392099607722</v>
      </c>
    </row>
    <row r="175" ht="14.25">
      <c r="A175">
        <v>-15</v>
      </c>
      <c r="B175">
        <f t="shared" si="44"/>
        <v>-4.5</v>
      </c>
      <c r="E175">
        <f t="shared" si="45"/>
        <v>-0.23849999999999999</v>
      </c>
      <c r="F175">
        <f t="shared" si="46"/>
        <v>-0.23849999999999999</v>
      </c>
      <c r="G175">
        <f t="shared" si="47"/>
        <v>2.1270733607183092</v>
      </c>
      <c r="H175">
        <f t="shared" si="48"/>
        <v>2.1270733607183092</v>
      </c>
      <c r="I175">
        <f t="shared" si="49"/>
        <v>-1.0754202829163209</v>
      </c>
      <c r="J175">
        <f t="shared" si="50"/>
        <v>2.3834785224090655</v>
      </c>
      <c r="K175" s="5">
        <f t="shared" si="51"/>
        <v>0.17999999999999999</v>
      </c>
      <c r="N175" s="5">
        <f t="shared" si="52"/>
        <v>-27</v>
      </c>
      <c r="O175" s="5">
        <f t="shared" si="53"/>
        <v>-64.012660463276092</v>
      </c>
      <c r="P175" s="6">
        <f t="shared" si="54"/>
        <v>125.63191991055987</v>
      </c>
      <c r="Q175" s="6"/>
      <c r="R175" s="6">
        <f t="shared" si="55"/>
        <v>-2.1372905801791511</v>
      </c>
      <c r="S175" s="6">
        <f t="shared" si="56"/>
        <v>6.6584917552596732</v>
      </c>
      <c r="T175" s="6">
        <f t="shared" si="57"/>
        <v>6.6584917552596732</v>
      </c>
      <c r="U175" s="6">
        <f t="shared" si="58"/>
        <v>3.1199045175641658</v>
      </c>
      <c r="V175" s="6">
        <f t="shared" si="59"/>
        <v>3.1199045175641658</v>
      </c>
      <c r="W175" s="6">
        <f t="shared" si="60"/>
        <v>9.3371664505172447</v>
      </c>
      <c r="X175" s="6">
        <f t="shared" si="61"/>
        <v>9.8446168804774778</v>
      </c>
      <c r="Y175" s="6">
        <f t="shared" si="62"/>
        <v>-0.5761139441694848</v>
      </c>
    </row>
    <row r="176" ht="14.25">
      <c r="A176">
        <v>-16</v>
      </c>
      <c r="B176">
        <f t="shared" si="44"/>
        <v>-4.7999999999999998</v>
      </c>
      <c r="E176">
        <f t="shared" si="45"/>
        <v>-0.25439999999999996</v>
      </c>
      <c r="F176">
        <f t="shared" si="46"/>
        <v>-0.25439999999999996</v>
      </c>
      <c r="G176">
        <f t="shared" si="47"/>
        <v>2.1145195564745647</v>
      </c>
      <c r="H176">
        <f t="shared" si="48"/>
        <v>2.1145195564745647</v>
      </c>
      <c r="I176">
        <f t="shared" si="49"/>
        <v>-1.0913202829163209</v>
      </c>
      <c r="J176">
        <f t="shared" si="50"/>
        <v>2.3795320789218093</v>
      </c>
      <c r="K176" s="5">
        <f t="shared" si="51"/>
        <v>0.17999999999999999</v>
      </c>
      <c r="N176" s="5">
        <f t="shared" si="52"/>
        <v>-28.800000000000001</v>
      </c>
      <c r="O176" s="5">
        <f t="shared" si="53"/>
        <v>-67.927268048341858</v>
      </c>
      <c r="P176" s="6">
        <f t="shared" si="54"/>
        <v>123.55924188618476</v>
      </c>
      <c r="Q176" s="6"/>
      <c r="R176" s="6">
        <f t="shared" si="55"/>
        <v>-2.344764782187637</v>
      </c>
      <c r="S176" s="6">
        <f t="shared" si="56"/>
        <v>6.548639819967792</v>
      </c>
      <c r="T176" s="6">
        <f t="shared" si="57"/>
        <v>6.548639819967792</v>
      </c>
      <c r="U176" s="6">
        <f t="shared" si="58"/>
        <v>2.8256970016279572</v>
      </c>
      <c r="V176" s="6">
        <f t="shared" si="59"/>
        <v>2.8256970016279572</v>
      </c>
      <c r="W176" s="6">
        <f t="shared" si="60"/>
        <v>9.3911252396053442</v>
      </c>
      <c r="X176" s="6">
        <f t="shared" si="61"/>
        <v>9.8070279295493883</v>
      </c>
      <c r="Y176" s="6">
        <f t="shared" si="62"/>
        <v>-0.61134541243507678</v>
      </c>
    </row>
    <row r="177" ht="14.25">
      <c r="A177">
        <v>-17</v>
      </c>
      <c r="B177">
        <f t="shared" si="44"/>
        <v>-5.0999999999999996</v>
      </c>
      <c r="E177">
        <f t="shared" si="45"/>
        <v>-0.27029999999999998</v>
      </c>
      <c r="F177">
        <f t="shared" si="46"/>
        <v>-0.27029999999999998</v>
      </c>
      <c r="G177">
        <f t="shared" si="47"/>
        <v>2.1019657522308197</v>
      </c>
      <c r="H177">
        <f t="shared" si="48"/>
        <v>2.1019657522308197</v>
      </c>
      <c r="I177">
        <f t="shared" si="49"/>
        <v>-1.1072202829163209</v>
      </c>
      <c r="J177">
        <f t="shared" si="50"/>
        <v>2.3757518343574047</v>
      </c>
      <c r="K177" s="5">
        <f t="shared" si="51"/>
        <v>0.17999999999999999</v>
      </c>
      <c r="N177" s="5">
        <f t="shared" si="52"/>
        <v>-30.600000000000001</v>
      </c>
      <c r="O177" s="5">
        <f t="shared" si="53"/>
        <v>-71.774839620802354</v>
      </c>
      <c r="P177" s="6">
        <f t="shared" si="54"/>
        <v>121.36462580755605</v>
      </c>
      <c r="Q177" s="6"/>
      <c r="R177" s="6">
        <f t="shared" si="55"/>
        <v>-2.5486860755280434</v>
      </c>
      <c r="S177" s="6">
        <f t="shared" si="56"/>
        <v>6.4323251678004709</v>
      </c>
      <c r="T177" s="6">
        <f t="shared" si="57"/>
        <v>6.4323251678004709</v>
      </c>
      <c r="U177" s="6">
        <f t="shared" si="58"/>
        <v>2.5299397728166184</v>
      </c>
      <c r="V177" s="6">
        <f t="shared" si="59"/>
        <v>2.5299397728166184</v>
      </c>
      <c r="W177" s="6">
        <f t="shared" si="60"/>
        <v>9.4358161218862442</v>
      </c>
      <c r="X177" s="6">
        <f t="shared" si="61"/>
        <v>9.7690952058073304</v>
      </c>
      <c r="Y177" s="6">
        <f t="shared" si="62"/>
        <v>-0.64597355658722111</v>
      </c>
    </row>
    <row r="178" ht="14.25">
      <c r="A178">
        <v>-18</v>
      </c>
      <c r="B178">
        <f t="shared" si="44"/>
        <v>-5.4000000000000004</v>
      </c>
      <c r="E178">
        <f t="shared" si="45"/>
        <v>-0.28620000000000001</v>
      </c>
      <c r="F178">
        <f t="shared" si="46"/>
        <v>-0.28620000000000001</v>
      </c>
      <c r="G178">
        <f t="shared" si="47"/>
        <v>2.0894119479870747</v>
      </c>
      <c r="H178">
        <f t="shared" si="48"/>
        <v>2.0894119479870747</v>
      </c>
      <c r="I178">
        <f t="shared" si="49"/>
        <v>-1.1231202829163209</v>
      </c>
      <c r="J178">
        <f t="shared" si="50"/>
        <v>2.3721385832807447</v>
      </c>
      <c r="K178" s="5">
        <f t="shared" si="51"/>
        <v>0.17999999999999999</v>
      </c>
      <c r="N178" s="5">
        <f t="shared" si="52"/>
        <v>-32.399999999999999</v>
      </c>
      <c r="O178" s="5">
        <f t="shared" si="53"/>
        <v>-75.551578092038525</v>
      </c>
      <c r="P178" s="6">
        <f t="shared" si="54"/>
        <v>119.05023749578413</v>
      </c>
      <c r="Q178" s="6"/>
      <c r="R178" s="6">
        <f t="shared" si="55"/>
        <v>-2.7488532145035602</v>
      </c>
      <c r="S178" s="6">
        <f t="shared" si="56"/>
        <v>6.3096625872765584</v>
      </c>
      <c r="T178" s="6">
        <f t="shared" si="57"/>
        <v>6.3096625872765584</v>
      </c>
      <c r="U178" s="6">
        <f t="shared" si="58"/>
        <v>2.2329247078077819</v>
      </c>
      <c r="V178" s="6">
        <f t="shared" si="59"/>
        <v>2.2329247078077819</v>
      </c>
      <c r="W178" s="6">
        <f t="shared" si="60"/>
        <v>9.471194992854727</v>
      </c>
      <c r="X178" s="6">
        <f t="shared" si="61"/>
        <v>9.7308523441379435</v>
      </c>
      <c r="Y178" s="6">
        <f t="shared" si="62"/>
        <v>-0.67996420282834669</v>
      </c>
    </row>
    <row r="179" ht="14.25">
      <c r="A179">
        <v>-19</v>
      </c>
      <c r="B179">
        <f t="shared" si="44"/>
        <v>-5.7000000000000002</v>
      </c>
      <c r="E179">
        <f t="shared" si="45"/>
        <v>-0.30209999999999998</v>
      </c>
      <c r="F179">
        <f t="shared" si="46"/>
        <v>-0.30209999999999998</v>
      </c>
      <c r="G179">
        <f t="shared" si="47"/>
        <v>2.0768581437433302</v>
      </c>
      <c r="H179">
        <f t="shared" si="48"/>
        <v>2.0768581437433302</v>
      </c>
      <c r="I179">
        <f t="shared" si="49"/>
        <v>-1.139020282916321</v>
      </c>
      <c r="J179">
        <f t="shared" si="50"/>
        <v>2.3686930898974157</v>
      </c>
      <c r="K179" s="5">
        <f t="shared" si="51"/>
        <v>0.17999999999999999</v>
      </c>
      <c r="N179" s="5">
        <f t="shared" si="52"/>
        <v>-34.200000000000003</v>
      </c>
      <c r="O179" s="5">
        <f t="shared" si="53"/>
        <v>-79.253756277150416</v>
      </c>
      <c r="P179" s="6">
        <f t="shared" si="54"/>
        <v>116.61836097271322</v>
      </c>
      <c r="Q179" s="6"/>
      <c r="R179" s="6">
        <f t="shared" si="55"/>
        <v>-2.9450686583144909</v>
      </c>
      <c r="S179" s="6">
        <f t="shared" si="56"/>
        <v>6.1807731315538001</v>
      </c>
      <c r="T179" s="6">
        <f t="shared" si="57"/>
        <v>6.1807731315538001</v>
      </c>
      <c r="U179" s="6">
        <f t="shared" si="58"/>
        <v>1.934944924611548</v>
      </c>
      <c r="V179" s="6">
        <f t="shared" si="59"/>
        <v>1.934944924611548</v>
      </c>
      <c r="W179" s="6">
        <f t="shared" si="60"/>
        <v>9.4972269378364942</v>
      </c>
      <c r="X179" s="6">
        <f t="shared" si="61"/>
        <v>9.6923336390183739</v>
      </c>
      <c r="Y179" s="6">
        <f t="shared" si="62"/>
        <v>-0.71328380649435374</v>
      </c>
    </row>
    <row r="180" ht="14.25">
      <c r="A180">
        <v>-20</v>
      </c>
      <c r="B180">
        <f t="shared" si="44"/>
        <v>-6</v>
      </c>
      <c r="E180">
        <f t="shared" si="45"/>
        <v>-0.318</v>
      </c>
      <c r="F180">
        <f t="shared" si="46"/>
        <v>-0.318</v>
      </c>
      <c r="G180">
        <f t="shared" si="47"/>
        <v>2.0643043394995853</v>
      </c>
      <c r="H180">
        <f t="shared" si="48"/>
        <v>2.0643043394995853</v>
      </c>
      <c r="I180">
        <f t="shared" si="49"/>
        <v>-1.154920282916321</v>
      </c>
      <c r="J180">
        <f t="shared" si="50"/>
        <v>2.3654160872811221</v>
      </c>
      <c r="K180" s="5">
        <f t="shared" si="51"/>
        <v>0.17999999999999999</v>
      </c>
      <c r="N180" s="5">
        <f t="shared" si="52"/>
        <v>-36</v>
      </c>
      <c r="O180" s="5">
        <f t="shared" si="53"/>
        <v>-82.877720573238719</v>
      </c>
      <c r="P180" s="6">
        <f t="shared" si="54"/>
        <v>114.07139620686759</v>
      </c>
      <c r="Q180" s="6"/>
      <c r="R180" s="6">
        <f t="shared" si="55"/>
        <v>-3.1371387660071708</v>
      </c>
      <c r="S180" s="6">
        <f t="shared" si="56"/>
        <v>6.0457839989639819</v>
      </c>
      <c r="T180" s="6">
        <f t="shared" si="57"/>
        <v>6.0457839989639819</v>
      </c>
      <c r="U180" s="6">
        <f t="shared" si="58"/>
        <v>1.6362944932983972</v>
      </c>
      <c r="V180" s="6">
        <f t="shared" si="59"/>
        <v>1.6362944932983972</v>
      </c>
      <c r="W180" s="6">
        <f t="shared" si="60"/>
        <v>9.5138862664447181</v>
      </c>
      <c r="X180" s="6">
        <f t="shared" si="61"/>
        <v>9.6535740303601578</v>
      </c>
      <c r="Y180" s="6">
        <f t="shared" si="62"/>
        <v>-0.7458994851591485</v>
      </c>
    </row>
    <row r="181" ht="14.25">
      <c r="A181">
        <v>-21</v>
      </c>
      <c r="B181">
        <f t="shared" si="44"/>
        <v>-6.2999999999999998</v>
      </c>
      <c r="E181">
        <f t="shared" si="45"/>
        <v>-0.33389999999999997</v>
      </c>
      <c r="F181">
        <f t="shared" si="46"/>
        <v>-0.33389999999999997</v>
      </c>
      <c r="G181">
        <f t="shared" si="47"/>
        <v>2.0517505352558403</v>
      </c>
      <c r="H181">
        <f t="shared" si="48"/>
        <v>2.0517505352558403</v>
      </c>
      <c r="I181">
        <f t="shared" si="49"/>
        <v>-1.170820282916321</v>
      </c>
      <c r="J181">
        <f t="shared" si="50"/>
        <v>2.3623082766249799</v>
      </c>
      <c r="K181" s="5">
        <f t="shared" si="51"/>
        <v>0.17999999999999999</v>
      </c>
      <c r="N181" s="5">
        <f t="shared" si="52"/>
        <v>-37.799999999999997</v>
      </c>
      <c r="O181" s="5">
        <f t="shared" si="53"/>
        <v>-86.419894565069669</v>
      </c>
      <c r="P181" s="6">
        <f t="shared" si="54"/>
        <v>111.41185674497235</v>
      </c>
      <c r="Q181" s="6"/>
      <c r="R181" s="6">
        <f t="shared" si="55"/>
        <v>-3.324873987574211</v>
      </c>
      <c r="S181" s="6">
        <f t="shared" si="56"/>
        <v>5.9048284074835342</v>
      </c>
      <c r="T181" s="6">
        <f t="shared" si="57"/>
        <v>5.9048284074835342</v>
      </c>
      <c r="U181" s="6">
        <f t="shared" si="58"/>
        <v>1.3372681457875322</v>
      </c>
      <c r="V181" s="6">
        <f t="shared" si="59"/>
        <v>1.3372681457875322</v>
      </c>
      <c r="W181" s="6">
        <f t="shared" si="60"/>
        <v>9.5211565379333702</v>
      </c>
      <c r="X181" s="6">
        <f t="shared" si="61"/>
        <v>9.6146090879228883</v>
      </c>
      <c r="Y181" s="6">
        <f t="shared" si="62"/>
        <v>-0.77777905108562706</v>
      </c>
    </row>
    <row r="182" ht="14.25">
      <c r="A182">
        <v>-22</v>
      </c>
      <c r="B182">
        <f t="shared" si="44"/>
        <v>-6.5999999999999996</v>
      </c>
      <c r="E182">
        <f t="shared" si="45"/>
        <v>-0.34979999999999994</v>
      </c>
      <c r="F182">
        <f t="shared" si="46"/>
        <v>-0.34979999999999994</v>
      </c>
      <c r="G182">
        <f t="shared" si="47"/>
        <v>2.0391967310120958</v>
      </c>
      <c r="H182">
        <f t="shared" si="48"/>
        <v>2.0391967310120958</v>
      </c>
      <c r="I182">
        <f t="shared" si="49"/>
        <v>-1.1867202829163208</v>
      </c>
      <c r="J182">
        <f t="shared" si="50"/>
        <v>2.3593703265183721</v>
      </c>
      <c r="K182" s="5">
        <f t="shared" si="51"/>
        <v>0.17999999999999999</v>
      </c>
      <c r="N182" s="5">
        <f t="shared" si="52"/>
        <v>-39.600000000000001</v>
      </c>
      <c r="O182" s="5">
        <f t="shared" si="53"/>
        <v>-89.876782554565239</v>
      </c>
      <c r="P182" s="6">
        <f t="shared" si="54"/>
        <v>108.64236723138629</v>
      </c>
      <c r="Q182" s="6"/>
      <c r="R182" s="6">
        <f t="shared" si="55"/>
        <v>-3.5080890510174765</v>
      </c>
      <c r="S182" s="6">
        <f t="shared" si="56"/>
        <v>5.758045463263473</v>
      </c>
      <c r="T182" s="6">
        <f t="shared" si="57"/>
        <v>5.758045463263473</v>
      </c>
      <c r="U182" s="6">
        <f t="shared" si="58"/>
        <v>1.0381609849820554</v>
      </c>
      <c r="V182" s="6">
        <f t="shared" si="59"/>
        <v>1.0381609849820554</v>
      </c>
      <c r="W182" s="6">
        <f t="shared" si="60"/>
        <v>9.5190305774222423</v>
      </c>
      <c r="X182" s="6">
        <f t="shared" si="61"/>
        <v>9.5754749942046509</v>
      </c>
      <c r="Y182" s="6">
        <f t="shared" si="62"/>
        <v>-0.80889104299108716</v>
      </c>
    </row>
    <row r="183" ht="14.25">
      <c r="A183">
        <v>-23</v>
      </c>
      <c r="B183">
        <f t="shared" si="44"/>
        <v>-6.9000000000000004</v>
      </c>
      <c r="E183">
        <f t="shared" si="45"/>
        <v>-0.36570000000000003</v>
      </c>
      <c r="F183">
        <f t="shared" si="46"/>
        <v>-0.36570000000000003</v>
      </c>
      <c r="G183">
        <f t="shared" si="47"/>
        <v>2.0266429267683508</v>
      </c>
      <c r="H183">
        <f t="shared" si="48"/>
        <v>2.0266429267683508</v>
      </c>
      <c r="I183">
        <f t="shared" si="49"/>
        <v>-1.2026202829163211</v>
      </c>
      <c r="J183">
        <f t="shared" si="50"/>
        <v>2.3566028722510541</v>
      </c>
      <c r="K183" s="5">
        <f t="shared" si="51"/>
        <v>0.17999999999999999</v>
      </c>
      <c r="N183" s="5">
        <f t="shared" si="52"/>
        <v>-41.399999999999999</v>
      </c>
      <c r="O183" s="5">
        <f t="shared" si="53"/>
        <v>-93.244973010634908</v>
      </c>
      <c r="P183" s="6">
        <f t="shared" si="54"/>
        <v>105.7656608178948</v>
      </c>
      <c r="Q183" s="6"/>
      <c r="R183" s="6">
        <f t="shared" si="55"/>
        <v>-3.686603145189169</v>
      </c>
      <c r="S183" s="6">
        <f t="shared" si="56"/>
        <v>5.6055800233484243</v>
      </c>
      <c r="T183" s="6">
        <f t="shared" si="57"/>
        <v>5.6055800233484243</v>
      </c>
      <c r="U183" s="6">
        <f t="shared" si="58"/>
        <v>0.73926819353803896</v>
      </c>
      <c r="V183" s="6">
        <f t="shared" si="59"/>
        <v>0.73926819353803896</v>
      </c>
      <c r="W183" s="6">
        <f t="shared" si="60"/>
        <v>9.507510482977688</v>
      </c>
      <c r="X183" s="6">
        <f t="shared" si="61"/>
        <v>9.5362085257143807</v>
      </c>
      <c r="Y183" s="6">
        <f t="shared" si="62"/>
        <v>-0.83920475709571418</v>
      </c>
    </row>
    <row r="184" ht="14.25">
      <c r="A184">
        <v>-24</v>
      </c>
      <c r="B184">
        <f t="shared" si="44"/>
        <v>-7.2000000000000002</v>
      </c>
      <c r="E184">
        <f t="shared" si="45"/>
        <v>-0.38159999999999999</v>
      </c>
      <c r="F184">
        <f t="shared" si="46"/>
        <v>-0.38159999999999999</v>
      </c>
      <c r="G184">
        <f t="shared" si="47"/>
        <v>2.0140891225246058</v>
      </c>
      <c r="H184">
        <f t="shared" si="48"/>
        <v>2.0140891225246058</v>
      </c>
      <c r="I184">
        <f t="shared" si="49"/>
        <v>-1.2185202829163209</v>
      </c>
      <c r="J184">
        <f t="shared" si="50"/>
        <v>2.3540065151461258</v>
      </c>
      <c r="K184" s="5">
        <f t="shared" si="51"/>
        <v>0.17999999999999999</v>
      </c>
      <c r="N184" s="5">
        <f t="shared" si="52"/>
        <v>-43.200000000000003</v>
      </c>
      <c r="O184" s="5">
        <f t="shared" si="53"/>
        <v>-96.52114193594511</v>
      </c>
      <c r="P184" s="6">
        <f t="shared" si="54"/>
        <v>102.78457646641903</v>
      </c>
      <c r="Q184" s="6"/>
      <c r="R184" s="6">
        <f t="shared" si="55"/>
        <v>-3.8602400982306095</v>
      </c>
      <c r="S184" s="6">
        <f t="shared" si="56"/>
        <v>5.447582552720208</v>
      </c>
      <c r="T184" s="6">
        <f t="shared" si="57"/>
        <v>5.447582552720208</v>
      </c>
      <c r="U184" s="6">
        <f t="shared" si="58"/>
        <v>0.44088474255487142</v>
      </c>
      <c r="V184" s="6">
        <f t="shared" si="59"/>
        <v>0.44088474255487142</v>
      </c>
      <c r="W184" s="6">
        <f t="shared" si="60"/>
        <v>9.4866076235420849</v>
      </c>
      <c r="X184" s="6">
        <f t="shared" si="61"/>
        <v>9.4968470325295069</v>
      </c>
      <c r="Y184" s="6">
        <f t="shared" si="62"/>
        <v>-0.86869027742350602</v>
      </c>
    </row>
    <row r="185" ht="14.25">
      <c r="A185">
        <v>-25</v>
      </c>
      <c r="B185">
        <f t="shared" si="44"/>
        <v>-7.5</v>
      </c>
      <c r="E185">
        <f t="shared" si="45"/>
        <v>-0.39749999999999996</v>
      </c>
      <c r="F185">
        <f t="shared" si="46"/>
        <v>-0.39749999999999996</v>
      </c>
      <c r="G185">
        <f t="shared" si="47"/>
        <v>2.0015353182808613</v>
      </c>
      <c r="H185">
        <f t="shared" si="48"/>
        <v>2.0015353182808613</v>
      </c>
      <c r="I185">
        <f t="shared" si="49"/>
        <v>-1.2344202829163209</v>
      </c>
      <c r="J185">
        <f t="shared" si="50"/>
        <v>2.3515818219234639</v>
      </c>
      <c r="K185" s="5">
        <f t="shared" si="51"/>
        <v>0.17999999999999999</v>
      </c>
      <c r="N185" s="5">
        <f t="shared" si="52"/>
        <v>-45</v>
      </c>
      <c r="O185" s="5">
        <f t="shared" si="53"/>
        <v>-99.702056147303196</v>
      </c>
      <c r="P185" s="6">
        <f t="shared" si="54"/>
        <v>99.70205614730321</v>
      </c>
      <c r="Q185" s="6"/>
      <c r="R185" s="6">
        <f t="shared" si="55"/>
        <v>-4.0288285514325883</v>
      </c>
      <c r="S185" s="6">
        <f t="shared" si="56"/>
        <v>5.2842089758070703</v>
      </c>
      <c r="T185" s="6">
        <f t="shared" si="57"/>
        <v>5.2842089758070703</v>
      </c>
      <c r="U185" s="6">
        <f t="shared" si="58"/>
        <v>0.14330510047440725</v>
      </c>
      <c r="V185" s="6">
        <f t="shared" si="59"/>
        <v>0.14330510047440725</v>
      </c>
      <c r="W185" s="6">
        <f t="shared" si="60"/>
        <v>9.456342627714065</v>
      </c>
      <c r="X185" s="6">
        <f t="shared" si="61"/>
        <v>9.4574284160412301</v>
      </c>
      <c r="Y185" s="6">
        <f t="shared" si="62"/>
        <v>-0.89731850532572865</v>
      </c>
    </row>
    <row r="186" ht="14.25">
      <c r="A186">
        <v>-26</v>
      </c>
      <c r="B186">
        <f t="shared" si="44"/>
        <v>-7.7999999999999998</v>
      </c>
      <c r="E186">
        <f t="shared" si="45"/>
        <v>-0.41339999999999999</v>
      </c>
      <c r="F186">
        <f t="shared" si="46"/>
        <v>-0.41339999999999999</v>
      </c>
      <c r="G186">
        <f t="shared" si="47"/>
        <v>1.9889815140371163</v>
      </c>
      <c r="H186">
        <f t="shared" si="48"/>
        <v>1.9889815140371163</v>
      </c>
      <c r="I186">
        <f t="shared" si="49"/>
        <v>-1.2503202829163209</v>
      </c>
      <c r="J186">
        <f t="shared" si="50"/>
        <v>2.3493293240951401</v>
      </c>
      <c r="K186" s="5">
        <f t="shared" si="51"/>
        <v>0.17999999999999999</v>
      </c>
      <c r="N186" s="5">
        <f t="shared" si="52"/>
        <v>-46.799999999999997</v>
      </c>
      <c r="O186" s="5">
        <f t="shared" si="53"/>
        <v>-102.78457646641903</v>
      </c>
      <c r="P186" s="6">
        <f t="shared" si="54"/>
        <v>96.52114193594511</v>
      </c>
      <c r="Q186" s="6"/>
      <c r="R186" s="6">
        <f t="shared" si="55"/>
        <v>-4.1922021283457269</v>
      </c>
      <c r="S186" s="6">
        <f t="shared" si="56"/>
        <v>5.1156205226050906</v>
      </c>
      <c r="T186" s="6">
        <f t="shared" si="57"/>
        <v>5.1156205226050906</v>
      </c>
      <c r="U186" s="6">
        <f t="shared" si="58"/>
        <v>-0.15317705752384914</v>
      </c>
      <c r="V186" s="6">
        <f t="shared" si="59"/>
        <v>-0.15317705752384914</v>
      </c>
      <c r="W186" s="6">
        <f t="shared" si="60"/>
        <v>9.4167453633905716</v>
      </c>
      <c r="X186" s="6">
        <f t="shared" si="61"/>
        <v>9.4179911047892535</v>
      </c>
      <c r="Y186" s="6">
        <f t="shared" si="62"/>
        <v>-0.92506118819777128</v>
      </c>
    </row>
    <row r="187" ht="14.25">
      <c r="A187">
        <v>-27</v>
      </c>
      <c r="B187">
        <f t="shared" si="44"/>
        <v>-8.0999999999999996</v>
      </c>
      <c r="E187">
        <f t="shared" si="45"/>
        <v>-0.42929999999999996</v>
      </c>
      <c r="F187">
        <f t="shared" si="46"/>
        <v>-0.42929999999999996</v>
      </c>
      <c r="G187">
        <f t="shared" si="47"/>
        <v>1.9764277097933716</v>
      </c>
      <c r="H187">
        <f t="shared" si="48"/>
        <v>1.9764277097933716</v>
      </c>
      <c r="I187">
        <f t="shared" si="49"/>
        <v>-1.2662202829163209</v>
      </c>
      <c r="J187">
        <f t="shared" si="50"/>
        <v>2.3472495173942969</v>
      </c>
      <c r="K187" s="5">
        <f t="shared" si="51"/>
        <v>0.17999999999999999</v>
      </c>
      <c r="N187" s="5">
        <f t="shared" si="52"/>
        <v>-48.600000000000001</v>
      </c>
      <c r="O187" s="5">
        <f t="shared" si="53"/>
        <v>-105.7656608178948</v>
      </c>
      <c r="P187" s="6">
        <f t="shared" si="54"/>
        <v>93.244973010634908</v>
      </c>
      <c r="Q187" s="6"/>
      <c r="R187" s="6">
        <f t="shared" si="55"/>
        <v>-4.3501995989739433</v>
      </c>
      <c r="S187" s="6">
        <f t="shared" si="56"/>
        <v>4.94198356956365</v>
      </c>
      <c r="T187" s="6">
        <f t="shared" si="57"/>
        <v>4.94198356956365</v>
      </c>
      <c r="U187" s="6">
        <f t="shared" si="58"/>
        <v>-0.4482691393446796</v>
      </c>
      <c r="V187" s="6">
        <f t="shared" si="59"/>
        <v>-0.4482691393446796</v>
      </c>
      <c r="W187" s="6">
        <f t="shared" si="60"/>
        <v>9.3678549082908589</v>
      </c>
      <c r="X187" s="6">
        <f t="shared" si="61"/>
        <v>9.3785740282879875</v>
      </c>
      <c r="Y187" s="6">
        <f t="shared" si="62"/>
        <v>-0.95189094736105306</v>
      </c>
    </row>
    <row r="188" ht="14.25">
      <c r="A188">
        <v>-28</v>
      </c>
      <c r="B188">
        <f t="shared" si="44"/>
        <v>-8.4000000000000004</v>
      </c>
      <c r="E188">
        <f t="shared" si="45"/>
        <v>-0.44519999999999998</v>
      </c>
      <c r="F188">
        <f t="shared" si="46"/>
        <v>-0.44519999999999998</v>
      </c>
      <c r="G188">
        <f t="shared" si="47"/>
        <v>1.9638739055496268</v>
      </c>
      <c r="H188">
        <f t="shared" si="48"/>
        <v>1.9638739055496268</v>
      </c>
      <c r="I188">
        <f t="shared" si="49"/>
        <v>-1.282120282916321</v>
      </c>
      <c r="J188">
        <f t="shared" si="50"/>
        <v>2.3453428612388789</v>
      </c>
      <c r="K188" s="5">
        <f t="shared" si="51"/>
        <v>0.17999999999999999</v>
      </c>
      <c r="N188" s="5">
        <f t="shared" si="52"/>
        <v>-50.399999999999999</v>
      </c>
      <c r="O188" s="5">
        <f t="shared" si="53"/>
        <v>-108.64236723138627</v>
      </c>
      <c r="P188" s="6">
        <f t="shared" si="54"/>
        <v>89.876782554565267</v>
      </c>
      <c r="Q188" s="6"/>
      <c r="R188" s="6">
        <f t="shared" si="55"/>
        <v>-4.5026650388889911</v>
      </c>
      <c r="S188" s="6">
        <f t="shared" si="56"/>
        <v>4.7634694753919593</v>
      </c>
      <c r="T188" s="6">
        <f t="shared" si="57"/>
        <v>4.7634694753919593</v>
      </c>
      <c r="U188" s="6">
        <f t="shared" si="58"/>
        <v>-0.74167992473022037</v>
      </c>
      <c r="V188" s="6">
        <f t="shared" si="59"/>
        <v>-0.74167992473022037</v>
      </c>
      <c r="W188" s="6">
        <f t="shared" si="60"/>
        <v>9.3097195113914903</v>
      </c>
      <c r="X188" s="6">
        <f t="shared" si="61"/>
        <v>9.3392165887472185</v>
      </c>
      <c r="Y188" s="6">
        <f t="shared" si="62"/>
        <v>-0.97778130508247652</v>
      </c>
    </row>
    <row r="189" ht="14.25">
      <c r="A189">
        <v>-29</v>
      </c>
      <c r="B189">
        <f t="shared" si="44"/>
        <v>-8.6999999999999993</v>
      </c>
      <c r="E189">
        <f t="shared" si="45"/>
        <v>-0.46109999999999995</v>
      </c>
      <c r="F189">
        <f t="shared" si="46"/>
        <v>-0.46109999999999995</v>
      </c>
      <c r="G189">
        <f t="shared" si="47"/>
        <v>1.9513201013058818</v>
      </c>
      <c r="H189">
        <f t="shared" si="48"/>
        <v>1.9513201013058818</v>
      </c>
      <c r="I189">
        <f t="shared" si="49"/>
        <v>-1.2980202829163208</v>
      </c>
      <c r="J189">
        <f t="shared" si="50"/>
        <v>2.3436097782315559</v>
      </c>
      <c r="K189" s="5">
        <f t="shared" si="51"/>
        <v>0.17999999999999999</v>
      </c>
      <c r="N189" s="5">
        <f t="shared" si="52"/>
        <v>-52.200000000000003</v>
      </c>
      <c r="O189" s="5">
        <f t="shared" si="53"/>
        <v>-111.41185674497235</v>
      </c>
      <c r="P189" s="6">
        <f t="shared" si="54"/>
        <v>86.419894565069683</v>
      </c>
      <c r="Q189" s="6"/>
      <c r="R189" s="6">
        <f t="shared" si="55"/>
        <v>-4.6494479831090532</v>
      </c>
      <c r="S189" s="6">
        <f t="shared" si="56"/>
        <v>4.580254411948693</v>
      </c>
      <c r="T189" s="6">
        <f t="shared" si="57"/>
        <v>4.580254411948693</v>
      </c>
      <c r="U189" s="6">
        <f t="shared" si="58"/>
        <v>-1.0331198526592162</v>
      </c>
      <c r="V189" s="6">
        <f t="shared" si="59"/>
        <v>-1.0331198526592162</v>
      </c>
      <c r="W189" s="6">
        <f t="shared" si="60"/>
        <v>9.242396545310438</v>
      </c>
      <c r="X189" s="6">
        <f t="shared" si="61"/>
        <v>9.2999586305921227</v>
      </c>
      <c r="Y189" s="6">
        <f t="shared" si="62"/>
        <v>-1.0027067107047511</v>
      </c>
    </row>
    <row r="190" ht="14.25">
      <c r="A190">
        <v>-30</v>
      </c>
      <c r="B190">
        <f t="shared" si="44"/>
        <v>-9</v>
      </c>
      <c r="E190">
        <f t="shared" si="45"/>
        <v>-0.47699999999999998</v>
      </c>
      <c r="F190">
        <f t="shared" si="46"/>
        <v>-0.47699999999999998</v>
      </c>
      <c r="G190">
        <f t="shared" si="47"/>
        <v>1.9387662970621371</v>
      </c>
      <c r="H190">
        <f t="shared" si="48"/>
        <v>1.9387662970621371</v>
      </c>
      <c r="I190">
        <f t="shared" si="49"/>
        <v>-1.313920282916321</v>
      </c>
      <c r="J190">
        <f t="shared" si="50"/>
        <v>2.3420506536970835</v>
      </c>
      <c r="K190" s="5">
        <f t="shared" si="51"/>
        <v>0.17999999999999999</v>
      </c>
      <c r="N190" s="5">
        <f t="shared" si="52"/>
        <v>-54</v>
      </c>
      <c r="O190" s="5">
        <f t="shared" si="53"/>
        <v>-114.07139620686759</v>
      </c>
      <c r="P190" s="6">
        <f t="shared" si="54"/>
        <v>82.877720573238719</v>
      </c>
      <c r="Q190" s="6"/>
      <c r="R190" s="6">
        <f t="shared" si="55"/>
        <v>-4.7904035745895008</v>
      </c>
      <c r="S190" s="6">
        <f t="shared" si="56"/>
        <v>4.3925191903816518</v>
      </c>
      <c r="T190" s="6">
        <f t="shared" si="57"/>
        <v>4.3925191903816518</v>
      </c>
      <c r="U190" s="6">
        <f t="shared" si="58"/>
        <v>-1.3223013071087641</v>
      </c>
      <c r="V190" s="6">
        <f t="shared" si="59"/>
        <v>-1.3223013071087641</v>
      </c>
      <c r="W190" s="6">
        <f t="shared" si="60"/>
        <v>9.1659524496872198</v>
      </c>
      <c r="X190" s="6">
        <f t="shared" si="61"/>
        <v>9.2608404076902602</v>
      </c>
      <c r="Y190" s="6">
        <f t="shared" si="62"/>
        <v>-1.0266425658618084</v>
      </c>
    </row>
    <row r="191" ht="14.25">
      <c r="A191">
        <v>-31</v>
      </c>
      <c r="B191">
        <f t="shared" si="44"/>
        <v>-9.3000000000000007</v>
      </c>
      <c r="E191">
        <f t="shared" si="45"/>
        <v>-0.4929</v>
      </c>
      <c r="F191">
        <f t="shared" si="46"/>
        <v>-0.4929</v>
      </c>
      <c r="G191">
        <f t="shared" si="47"/>
        <v>1.9262124928183924</v>
      </c>
      <c r="H191">
        <f t="shared" si="48"/>
        <v>1.9262124928183924</v>
      </c>
      <c r="I191">
        <f t="shared" si="49"/>
        <v>-1.3298202829163208</v>
      </c>
      <c r="J191">
        <f t="shared" si="50"/>
        <v>2.3406658352582688</v>
      </c>
      <c r="K191" s="5">
        <f t="shared" si="51"/>
        <v>0.17999999999999999</v>
      </c>
      <c r="N191" s="5">
        <f t="shared" si="52"/>
        <v>-55.799999999999997</v>
      </c>
      <c r="O191" s="5">
        <f t="shared" si="53"/>
        <v>-116.61836097271322</v>
      </c>
      <c r="P191" s="6">
        <f t="shared" si="54"/>
        <v>79.253756277150416</v>
      </c>
      <c r="Q191" s="6"/>
      <c r="R191" s="6">
        <f t="shared" si="55"/>
        <v>-4.9253927071793191</v>
      </c>
      <c r="S191" s="6">
        <f t="shared" si="56"/>
        <v>4.200449082688972</v>
      </c>
      <c r="T191" s="6">
        <f t="shared" si="57"/>
        <v>4.200449082688972</v>
      </c>
      <c r="U191" s="6">
        <f t="shared" si="58"/>
        <v>-1.6089389008966259</v>
      </c>
      <c r="V191" s="6">
        <f t="shared" si="59"/>
        <v>-1.6089389008966259</v>
      </c>
      <c r="W191" s="6">
        <f t="shared" si="60"/>
        <v>9.0804626656150109</v>
      </c>
      <c r="X191" s="6">
        <f t="shared" si="61"/>
        <v>9.2219025481972281</v>
      </c>
      <c r="Y191" s="6">
        <f t="shared" si="62"/>
        <v>-1.0495652487544189</v>
      </c>
    </row>
    <row r="192" ht="14.25">
      <c r="A192">
        <v>-32</v>
      </c>
      <c r="B192">
        <f t="shared" si="44"/>
        <v>-9.5999999999999996</v>
      </c>
      <c r="E192">
        <f t="shared" si="45"/>
        <v>-0.50879999999999992</v>
      </c>
      <c r="F192">
        <f t="shared" si="46"/>
        <v>-0.50879999999999992</v>
      </c>
      <c r="G192">
        <f t="shared" si="47"/>
        <v>1.9136586885746476</v>
      </c>
      <c r="H192">
        <f t="shared" si="48"/>
        <v>1.9136586885746476</v>
      </c>
      <c r="I192">
        <f t="shared" si="49"/>
        <v>-1.3457202829163208</v>
      </c>
      <c r="J192">
        <f t="shared" si="50"/>
        <v>2.3394556324516227</v>
      </c>
      <c r="K192" s="5">
        <f t="shared" si="51"/>
        <v>0.17999999999999999</v>
      </c>
      <c r="N192" s="5">
        <f t="shared" si="52"/>
        <v>-57.600000000000001</v>
      </c>
      <c r="O192" s="5">
        <f t="shared" si="53"/>
        <v>-119.05023749578413</v>
      </c>
      <c r="P192" s="6">
        <f t="shared" si="54"/>
        <v>75.551578092038511</v>
      </c>
      <c r="Q192" s="6"/>
      <c r="R192" s="6">
        <f t="shared" si="55"/>
        <v>-5.0542821629020773</v>
      </c>
      <c r="S192" s="6">
        <f t="shared" si="56"/>
        <v>4.0042336388780413</v>
      </c>
      <c r="T192" s="6">
        <f t="shared" si="57"/>
        <v>4.0042336388780413</v>
      </c>
      <c r="U192" s="6">
        <f t="shared" si="58"/>
        <v>-1.8927497573239083</v>
      </c>
      <c r="V192" s="6">
        <f t="shared" si="59"/>
        <v>-1.8927497573239083</v>
      </c>
      <c r="W192" s="6">
        <f t="shared" si="60"/>
        <v>8.9860115611893825</v>
      </c>
      <c r="X192" s="6">
        <f t="shared" si="61"/>
        <v>9.183186016937638</v>
      </c>
      <c r="Y192" s="6">
        <f t="shared" si="62"/>
        <v>-1.0714521374620571</v>
      </c>
    </row>
    <row r="193" ht="14.25">
      <c r="A193">
        <v>-33</v>
      </c>
      <c r="B193">
        <f t="shared" si="44"/>
        <v>-9.9000000000000004</v>
      </c>
      <c r="E193">
        <f t="shared" si="45"/>
        <v>-0.52470000000000006</v>
      </c>
      <c r="F193">
        <f t="shared" si="46"/>
        <v>-0.52470000000000006</v>
      </c>
      <c r="G193">
        <f t="shared" si="47"/>
        <v>1.9011048843309029</v>
      </c>
      <c r="H193">
        <f t="shared" si="48"/>
        <v>1.9011048843309029</v>
      </c>
      <c r="I193">
        <f t="shared" si="49"/>
        <v>-1.3616202829163209</v>
      </c>
      <c r="J193">
        <f t="shared" si="50"/>
        <v>2.3384203163836772</v>
      </c>
      <c r="K193" s="5">
        <f t="shared" si="51"/>
        <v>0.17999999999999999</v>
      </c>
      <c r="N193" s="5">
        <f t="shared" si="52"/>
        <v>-59.399999999999999</v>
      </c>
      <c r="O193" s="5">
        <f t="shared" si="53"/>
        <v>-121.36462580755605</v>
      </c>
      <c r="P193" s="6">
        <f t="shared" si="54"/>
        <v>71.774839620802339</v>
      </c>
      <c r="Q193" s="6"/>
      <c r="R193" s="6">
        <f t="shared" si="55"/>
        <v>-5.1769447434259899</v>
      </c>
      <c r="S193" s="6">
        <f t="shared" si="56"/>
        <v>3.804066499902524</v>
      </c>
      <c r="T193" s="6">
        <f t="shared" si="57"/>
        <v>3.804066499902524</v>
      </c>
      <c r="U193" s="6">
        <f t="shared" si="58"/>
        <v>-2.1734537893402175</v>
      </c>
      <c r="V193" s="6">
        <f t="shared" si="59"/>
        <v>-2.1734537893402175</v>
      </c>
      <c r="W193" s="6">
        <f t="shared" si="60"/>
        <v>8.8826923482471845</v>
      </c>
      <c r="X193" s="6">
        <f t="shared" si="61"/>
        <v>9.144732075244546</v>
      </c>
      <c r="Y193" s="6">
        <f t="shared" si="62"/>
        <v>-1.0922816322680045</v>
      </c>
    </row>
    <row r="194" ht="14.25">
      <c r="A194">
        <v>-34</v>
      </c>
      <c r="B194">
        <f t="shared" si="44"/>
        <v>-10.199999999999999</v>
      </c>
      <c r="E194">
        <f t="shared" si="45"/>
        <v>-0.54059999999999997</v>
      </c>
      <c r="F194">
        <f t="shared" si="46"/>
        <v>-0.54059999999999997</v>
      </c>
      <c r="G194">
        <f t="shared" si="47"/>
        <v>1.8885510800871579</v>
      </c>
      <c r="H194">
        <f t="shared" si="48"/>
        <v>1.8885510800871579</v>
      </c>
      <c r="I194">
        <f t="shared" si="49"/>
        <v>-1.3775202829163209</v>
      </c>
      <c r="J194">
        <f t="shared" si="50"/>
        <v>2.3375601194288524</v>
      </c>
      <c r="K194" s="5">
        <f t="shared" si="51"/>
        <v>0.17999999999999999</v>
      </c>
      <c r="N194" s="5">
        <f t="shared" si="52"/>
        <v>-61.200000000000003</v>
      </c>
      <c r="O194" s="5">
        <f t="shared" si="53"/>
        <v>-123.55924188618478</v>
      </c>
      <c r="P194" s="6">
        <f t="shared" si="54"/>
        <v>67.927268048341844</v>
      </c>
      <c r="Q194" s="6"/>
      <c r="R194" s="6">
        <f t="shared" si="55"/>
        <v>-5.2932593955933118</v>
      </c>
      <c r="S194" s="6">
        <f t="shared" si="56"/>
        <v>3.6001452065621176</v>
      </c>
      <c r="T194" s="6">
        <f t="shared" si="57"/>
        <v>3.6001452065621176</v>
      </c>
      <c r="U194" s="6">
        <f t="shared" si="58"/>
        <v>-2.450773975955761</v>
      </c>
      <c r="V194" s="6">
        <f t="shared" si="59"/>
        <v>-2.450773975955761</v>
      </c>
      <c r="W194" s="6">
        <f t="shared" si="60"/>
        <v>8.7706069903777131</v>
      </c>
      <c r="X194" s="6">
        <f t="shared" si="61"/>
        <v>9.106582238188178</v>
      </c>
      <c r="Y194" s="6">
        <f t="shared" si="62"/>
        <v>-1.1120331769756631</v>
      </c>
    </row>
    <row r="195" ht="14.25">
      <c r="A195">
        <v>-35</v>
      </c>
      <c r="B195">
        <f t="shared" si="44"/>
        <v>-10.5</v>
      </c>
      <c r="E195">
        <f t="shared" si="45"/>
        <v>-0.55649999999999999</v>
      </c>
      <c r="F195">
        <f t="shared" si="46"/>
        <v>-0.55649999999999999</v>
      </c>
      <c r="G195">
        <f t="shared" si="47"/>
        <v>1.8759972758434129</v>
      </c>
      <c r="H195">
        <f t="shared" si="48"/>
        <v>1.8759972758434129</v>
      </c>
      <c r="I195">
        <f t="shared" si="49"/>
        <v>-1.3934202829163209</v>
      </c>
      <c r="J195">
        <f t="shared" si="50"/>
        <v>2.3368752349696607</v>
      </c>
      <c r="K195" s="5">
        <f t="shared" si="51"/>
        <v>0.17999999999999999</v>
      </c>
      <c r="N195" s="5">
        <f t="shared" si="52"/>
        <v>-63</v>
      </c>
      <c r="O195" s="5">
        <f t="shared" si="53"/>
        <v>-125.63191991055986</v>
      </c>
      <c r="P195" s="6">
        <f t="shared" si="54"/>
        <v>64.012660463276106</v>
      </c>
      <c r="Q195" s="6"/>
      <c r="R195" s="6">
        <f t="shared" si="55"/>
        <v>-5.4031113308851912</v>
      </c>
      <c r="S195" s="6">
        <f t="shared" si="56"/>
        <v>3.3926710045536335</v>
      </c>
      <c r="T195" s="6">
        <f t="shared" si="57"/>
        <v>3.3926710045536335</v>
      </c>
      <c r="U195" s="6">
        <f t="shared" si="58"/>
        <v>-2.7244366356276197</v>
      </c>
      <c r="V195" s="6">
        <f t="shared" si="59"/>
        <v>-2.7244366356276197</v>
      </c>
      <c r="W195" s="6">
        <f t="shared" si="60"/>
        <v>8.649866102296949</v>
      </c>
      <c r="X195" s="6">
        <f t="shared" si="61"/>
        <v>9.0687782291340522</v>
      </c>
      <c r="Y195" s="6">
        <f t="shared" si="62"/>
        <v>-1.1306872791950389</v>
      </c>
    </row>
    <row r="196" ht="14.25">
      <c r="A196">
        <v>-36</v>
      </c>
      <c r="B196">
        <f t="shared" si="44"/>
        <v>-10.800000000000001</v>
      </c>
      <c r="E196">
        <f t="shared" si="45"/>
        <v>-0.57240000000000002</v>
      </c>
      <c r="F196">
        <f t="shared" si="46"/>
        <v>-0.57240000000000002</v>
      </c>
      <c r="G196">
        <f t="shared" si="47"/>
        <v>1.8634434715996682</v>
      </c>
      <c r="H196">
        <f t="shared" si="48"/>
        <v>1.8634434715996682</v>
      </c>
      <c r="I196">
        <f t="shared" si="49"/>
        <v>-1.4093202829163209</v>
      </c>
      <c r="J196">
        <f t="shared" si="50"/>
        <v>2.3363658171799129</v>
      </c>
      <c r="K196" s="5">
        <f t="shared" si="51"/>
        <v>0.17999999999999999</v>
      </c>
      <c r="N196" s="5">
        <f t="shared" si="52"/>
        <v>-64.799999999999997</v>
      </c>
      <c r="O196" s="5">
        <f t="shared" si="53"/>
        <v>-127.58061439770876</v>
      </c>
      <c r="P196" s="6">
        <f t="shared" si="54"/>
        <v>60.034880110675246</v>
      </c>
      <c r="Q196" s="6"/>
      <c r="R196" s="6">
        <f t="shared" si="55"/>
        <v>-5.5063921387040828</v>
      </c>
      <c r="S196" s="6">
        <f t="shared" si="56"/>
        <v>3.181848645865788</v>
      </c>
      <c r="T196" s="6">
        <f t="shared" si="57"/>
        <v>3.181848645865788</v>
      </c>
      <c r="U196" s="6">
        <f t="shared" si="58"/>
        <v>-2.9941716963503962</v>
      </c>
      <c r="V196" s="6">
        <f t="shared" si="59"/>
        <v>-2.9941716963503962</v>
      </c>
      <c r="W196" s="6">
        <f t="shared" si="60"/>
        <v>8.5205888406842121</v>
      </c>
      <c r="X196" s="6">
        <f t="shared" si="61"/>
        <v>9.0313619315814222</v>
      </c>
      <c r="Y196" s="6">
        <f t="shared" si="62"/>
        <v>-1.1482255295793788</v>
      </c>
    </row>
    <row r="197" ht="14.25">
      <c r="A197">
        <v>-37</v>
      </c>
      <c r="B197">
        <f t="shared" si="44"/>
        <v>-11.1</v>
      </c>
      <c r="E197">
        <f t="shared" si="45"/>
        <v>-0.58829999999999993</v>
      </c>
      <c r="F197">
        <f t="shared" si="46"/>
        <v>-0.58829999999999993</v>
      </c>
      <c r="G197">
        <f t="shared" si="47"/>
        <v>1.8508896673559234</v>
      </c>
      <c r="H197">
        <f t="shared" si="48"/>
        <v>1.8508896673559234</v>
      </c>
      <c r="I197">
        <f t="shared" si="49"/>
        <v>-1.425220282916321</v>
      </c>
      <c r="J197">
        <f t="shared" si="50"/>
        <v>2.3360319808515033</v>
      </c>
      <c r="K197" s="5">
        <f t="shared" si="51"/>
        <v>0.17999999999999999</v>
      </c>
      <c r="N197" s="5">
        <f t="shared" si="52"/>
        <v>-66.599999999999994</v>
      </c>
      <c r="O197" s="5">
        <f t="shared" si="53"/>
        <v>-129.40340222144135</v>
      </c>
      <c r="P197" s="6">
        <f t="shared" si="54"/>
        <v>55.997852579504062</v>
      </c>
      <c r="Q197" s="6"/>
      <c r="R197" s="6">
        <f t="shared" si="55"/>
        <v>-5.6029998933619103</v>
      </c>
      <c r="S197" s="6">
        <f t="shared" si="56"/>
        <v>2.9678861867137152</v>
      </c>
      <c r="T197" s="6">
        <f t="shared" si="57"/>
        <v>2.9678861867137152</v>
      </c>
      <c r="U197" s="6">
        <f t="shared" si="58"/>
        <v>-3.2597129621846621</v>
      </c>
      <c r="V197" s="6">
        <f t="shared" si="59"/>
        <v>-3.2597129621846621</v>
      </c>
      <c r="W197" s="6">
        <f t="shared" si="60"/>
        <v>8.3829027865888737</v>
      </c>
      <c r="X197" s="6">
        <f t="shared" si="61"/>
        <v>8.9943753382452414</v>
      </c>
      <c r="Y197" s="6">
        <f t="shared" si="62"/>
        <v>-1.1646306199929721</v>
      </c>
    </row>
    <row r="198" ht="14.25">
      <c r="A198">
        <v>-38</v>
      </c>
      <c r="B198">
        <f t="shared" si="44"/>
        <v>-11.4</v>
      </c>
      <c r="E198">
        <f t="shared" si="45"/>
        <v>-0.60419999999999996</v>
      </c>
      <c r="F198">
        <f t="shared" si="46"/>
        <v>-0.60419999999999996</v>
      </c>
      <c r="G198">
        <f t="shared" si="47"/>
        <v>1.8383358631121787</v>
      </c>
      <c r="H198">
        <f t="shared" si="48"/>
        <v>1.8383358631121787</v>
      </c>
      <c r="I198">
        <f t="shared" si="49"/>
        <v>-1.4411202829163208</v>
      </c>
      <c r="J198">
        <f t="shared" si="50"/>
        <v>2.3358738012652172</v>
      </c>
      <c r="K198" s="5">
        <f t="shared" si="51"/>
        <v>0.17999999999999999</v>
      </c>
      <c r="N198" s="5">
        <f t="shared" si="52"/>
        <v>-68.400000000000006</v>
      </c>
      <c r="O198" s="5">
        <f t="shared" si="53"/>
        <v>-131.09848451024345</v>
      </c>
      <c r="P198" s="6">
        <f t="shared" si="54"/>
        <v>51.905561928539612</v>
      </c>
      <c r="Q198" s="6"/>
      <c r="R198" s="6">
        <f t="shared" si="55"/>
        <v>-5.6928392546684217</v>
      </c>
      <c r="S198" s="6">
        <f t="shared" si="56"/>
        <v>2.7509947822125995</v>
      </c>
      <c r="T198" s="6">
        <f t="shared" si="57"/>
        <v>2.7509947822125995</v>
      </c>
      <c r="U198" s="6">
        <f t="shared" si="58"/>
        <v>-3.5207983759602222</v>
      </c>
      <c r="V198" s="6">
        <f t="shared" si="59"/>
        <v>-3.5207983759602222</v>
      </c>
      <c r="W198" s="6">
        <f t="shared" si="60"/>
        <v>8.236943819523292</v>
      </c>
      <c r="X198" s="6">
        <f t="shared" si="61"/>
        <v>8.9578604973591265</v>
      </c>
      <c r="Y198" s="6">
        <f t="shared" si="62"/>
        <v>-1.179886360592191</v>
      </c>
    </row>
    <row r="199" ht="14.25">
      <c r="A199">
        <v>-39</v>
      </c>
      <c r="B199">
        <f t="shared" si="44"/>
        <v>-11.699999999999999</v>
      </c>
      <c r="E199">
        <f t="shared" si="45"/>
        <v>-0.62009999999999998</v>
      </c>
      <c r="F199">
        <f t="shared" si="46"/>
        <v>-0.62009999999999998</v>
      </c>
      <c r="G199">
        <f t="shared" si="47"/>
        <v>1.8257820588684339</v>
      </c>
      <c r="H199">
        <f t="shared" si="48"/>
        <v>1.8257820588684339</v>
      </c>
      <c r="I199">
        <f t="shared" si="49"/>
        <v>-1.457020282916321</v>
      </c>
      <c r="J199">
        <f t="shared" si="50"/>
        <v>2.3358913141059054</v>
      </c>
      <c r="K199" s="5">
        <f t="shared" si="51"/>
        <v>0.17999999999999999</v>
      </c>
      <c r="N199" s="5">
        <f t="shared" si="52"/>
        <v>-70.200000000000003</v>
      </c>
      <c r="O199" s="5">
        <f t="shared" si="53"/>
        <v>-132.66418842254578</v>
      </c>
      <c r="P199" s="6">
        <f t="shared" si="54"/>
        <v>47.762046754586102</v>
      </c>
      <c r="Q199" s="6"/>
      <c r="R199" s="6">
        <f t="shared" si="55"/>
        <v>-5.7758215620204449</v>
      </c>
      <c r="S199" s="6">
        <f t="shared" si="56"/>
        <v>2.5313884779930635</v>
      </c>
      <c r="T199" s="6">
        <f t="shared" si="57"/>
        <v>2.5313884779930635</v>
      </c>
      <c r="U199" s="6">
        <f t="shared" si="58"/>
        <v>-3.7771702778949079</v>
      </c>
      <c r="V199" s="6">
        <f t="shared" si="59"/>
        <v>-3.7771702778949079</v>
      </c>
      <c r="W199" s="6">
        <f t="shared" si="60"/>
        <v>8.0828559833661195</v>
      </c>
      <c r="X199" s="6">
        <f t="shared" si="61"/>
        <v>8.9218594561924238</v>
      </c>
      <c r="Y199" s="6">
        <f t="shared" si="62"/>
        <v>-1.193977695802912</v>
      </c>
    </row>
    <row r="200" ht="14.25">
      <c r="A200">
        <v>-40</v>
      </c>
      <c r="B200">
        <f t="shared" si="44"/>
        <v>-12</v>
      </c>
      <c r="E200">
        <f t="shared" si="45"/>
        <v>-0.63600000000000001</v>
      </c>
      <c r="F200">
        <f t="shared" si="46"/>
        <v>-0.63600000000000001</v>
      </c>
      <c r="G200">
        <f t="shared" si="47"/>
        <v>1.813228254624689</v>
      </c>
      <c r="H200">
        <f t="shared" si="48"/>
        <v>1.813228254624689</v>
      </c>
      <c r="I200">
        <f t="shared" si="49"/>
        <v>-1.4729202829163208</v>
      </c>
      <c r="J200">
        <f t="shared" si="50"/>
        <v>2.3360845154222458</v>
      </c>
      <c r="K200" s="5">
        <f t="shared" si="51"/>
        <v>0.17999999999999999</v>
      </c>
      <c r="N200" s="5">
        <f t="shared" si="52"/>
        <v>-72</v>
      </c>
      <c r="O200" s="5">
        <f t="shared" si="53"/>
        <v>-134.09896879761664</v>
      </c>
      <c r="P200" s="6">
        <f t="shared" si="54"/>
        <v>43.57139620686759</v>
      </c>
      <c r="Q200" s="6"/>
      <c r="R200" s="6">
        <f t="shared" si="55"/>
        <v>-5.8518649218992005</v>
      </c>
      <c r="S200" s="6">
        <f t="shared" si="56"/>
        <v>2.3092839989639824</v>
      </c>
      <c r="T200" s="6">
        <f t="shared" si="57"/>
        <v>2.3092839989639824</v>
      </c>
      <c r="U200" s="6">
        <f t="shared" si="58"/>
        <v>-4.0285756598736633</v>
      </c>
      <c r="V200" s="6">
        <f t="shared" si="59"/>
        <v>-4.0285756598736633</v>
      </c>
      <c r="W200" s="6">
        <f t="shared" si="60"/>
        <v>7.9207913442083928</v>
      </c>
      <c r="X200" s="6">
        <f t="shared" si="61"/>
        <v>8.8864142017921441</v>
      </c>
      <c r="Y200" s="6">
        <f t="shared" si="62"/>
        <v>-1.2068907191785498</v>
      </c>
    </row>
    <row r="201" ht="14.25">
      <c r="A201">
        <v>-41</v>
      </c>
      <c r="B201">
        <f t="shared" si="44"/>
        <v>-12.300000000000001</v>
      </c>
      <c r="E201">
        <f t="shared" si="45"/>
        <v>-0.65190000000000003</v>
      </c>
      <c r="F201">
        <f t="shared" si="46"/>
        <v>-0.65190000000000003</v>
      </c>
      <c r="G201">
        <f t="shared" si="47"/>
        <v>1.8006744503809442</v>
      </c>
      <c r="H201">
        <f t="shared" si="48"/>
        <v>1.8006744503809442</v>
      </c>
      <c r="I201">
        <f t="shared" si="49"/>
        <v>-1.4888202829163211</v>
      </c>
      <c r="J201">
        <f t="shared" si="50"/>
        <v>2.3364533616312033</v>
      </c>
      <c r="K201" s="5">
        <f t="shared" si="51"/>
        <v>0.17999999999999999</v>
      </c>
      <c r="N201" s="5">
        <f t="shared" si="52"/>
        <v>-73.799999999999997</v>
      </c>
      <c r="O201" s="5">
        <f t="shared" si="53"/>
        <v>-135.40140968044895</v>
      </c>
      <c r="P201" s="6">
        <f t="shared" si="54"/>
        <v>39.33774595153136</v>
      </c>
      <c r="Q201" s="6"/>
      <c r="R201" s="6">
        <f t="shared" si="55"/>
        <v>-5.920894288689313</v>
      </c>
      <c r="S201" s="6">
        <f t="shared" si="56"/>
        <v>2.0849005354311618</v>
      </c>
      <c r="T201" s="6">
        <f t="shared" si="57"/>
        <v>2.0849005354311618</v>
      </c>
      <c r="U201" s="6">
        <f t="shared" si="58"/>
        <v>-4.2747664151370142</v>
      </c>
      <c r="V201" s="6">
        <f t="shared" si="59"/>
        <v>-4.2747664151370142</v>
      </c>
      <c r="W201" s="6">
        <f t="shared" si="60"/>
        <v>7.7509098402826622</v>
      </c>
      <c r="X201" s="6">
        <f t="shared" si="61"/>
        <v>8.8515665989797512</v>
      </c>
      <c r="Y201" s="6">
        <f t="shared" si="62"/>
        <v>-1.2186126871240406</v>
      </c>
    </row>
    <row r="202" ht="14.25">
      <c r="A202">
        <v>-42</v>
      </c>
      <c r="B202">
        <f t="shared" si="44"/>
        <v>-12.6</v>
      </c>
      <c r="E202">
        <f t="shared" si="45"/>
        <v>-0.66779999999999995</v>
      </c>
      <c r="F202">
        <f t="shared" si="46"/>
        <v>-0.66779999999999995</v>
      </c>
      <c r="G202">
        <f t="shared" si="47"/>
        <v>1.7881206461371995</v>
      </c>
      <c r="H202">
        <f t="shared" si="48"/>
        <v>1.7881206461371995</v>
      </c>
      <c r="I202">
        <f t="shared" si="49"/>
        <v>-1.5047202829163209</v>
      </c>
      <c r="J202">
        <f t="shared" si="50"/>
        <v>2.3369977695671618</v>
      </c>
      <c r="K202" s="5">
        <f t="shared" si="51"/>
        <v>0.17999999999999999</v>
      </c>
      <c r="N202" s="5">
        <f t="shared" si="52"/>
        <v>-75.599999999999994</v>
      </c>
      <c r="O202" s="5">
        <f t="shared" si="53"/>
        <v>-136.57022571913697</v>
      </c>
      <c r="P202" s="6">
        <f t="shared" si="54"/>
        <v>35.06527409024455</v>
      </c>
      <c r="Q202" s="6"/>
      <c r="R202" s="6">
        <f t="shared" si="55"/>
        <v>-5.9828415387397786</v>
      </c>
      <c r="S202" s="6">
        <f t="shared" si="56"/>
        <v>1.8584595267829611</v>
      </c>
      <c r="T202" s="6">
        <f t="shared" si="57"/>
        <v>1.8584595267829611</v>
      </c>
      <c r="U202" s="6">
        <f t="shared" si="58"/>
        <v>-4.5154995831324882</v>
      </c>
      <c r="V202" s="6">
        <f t="shared" si="59"/>
        <v>-4.5154995831324882</v>
      </c>
      <c r="W202" s="6">
        <f t="shared" si="60"/>
        <v>7.5733791241232575</v>
      </c>
      <c r="X202" s="6">
        <f t="shared" si="61"/>
        <v>8.8173583256537569</v>
      </c>
      <c r="Y202" s="6">
        <f t="shared" si="62"/>
        <v>-1.2291320314722327</v>
      </c>
    </row>
    <row r="203" ht="14.25">
      <c r="A203">
        <v>-43</v>
      </c>
      <c r="B203">
        <f t="shared" si="44"/>
        <v>-12.9</v>
      </c>
      <c r="E203">
        <f t="shared" si="45"/>
        <v>-0.68369999999999997</v>
      </c>
      <c r="F203">
        <f t="shared" si="46"/>
        <v>-0.68369999999999997</v>
      </c>
      <c r="G203">
        <f t="shared" si="47"/>
        <v>1.7755668418934545</v>
      </c>
      <c r="H203">
        <f t="shared" si="48"/>
        <v>1.7755668418934545</v>
      </c>
      <c r="I203">
        <f t="shared" si="49"/>
        <v>-1.5206202829163209</v>
      </c>
      <c r="J203">
        <f t="shared" si="50"/>
        <v>2.3377176165756222</v>
      </c>
      <c r="K203" s="5">
        <f t="shared" si="51"/>
        <v>0.17999999999999999</v>
      </c>
      <c r="N203" s="5">
        <f t="shared" si="52"/>
        <v>-77.400000000000006</v>
      </c>
      <c r="O203" s="5">
        <f t="shared" si="53"/>
        <v>-137.6042634333634</v>
      </c>
      <c r="P203" s="6">
        <f t="shared" si="54"/>
        <v>30.758197036912488</v>
      </c>
      <c r="Q203" s="6"/>
      <c r="R203" s="6">
        <f t="shared" si="55"/>
        <v>-6.0376455375937788</v>
      </c>
      <c r="S203" s="6">
        <f t="shared" si="56"/>
        <v>1.6301844429563619</v>
      </c>
      <c r="T203" s="6">
        <f t="shared" si="57"/>
        <v>1.6301844429563619</v>
      </c>
      <c r="U203" s="6">
        <f t="shared" si="58"/>
        <v>-4.750537589287342</v>
      </c>
      <c r="V203" s="6">
        <f t="shared" si="59"/>
        <v>-4.750537589287342</v>
      </c>
      <c r="W203" s="6">
        <f t="shared" si="60"/>
        <v>7.3883743971134841</v>
      </c>
      <c r="X203" s="6">
        <f t="shared" si="61"/>
        <v>8.7838308054717231</v>
      </c>
      <c r="Y203" s="6">
        <f t="shared" si="62"/>
        <v>-1.2384383709002706</v>
      </c>
    </row>
    <row r="204" ht="14.25">
      <c r="A204">
        <v>-44</v>
      </c>
      <c r="B204">
        <f t="shared" si="44"/>
        <v>-13.199999999999999</v>
      </c>
      <c r="E204">
        <f t="shared" si="45"/>
        <v>-0.69959999999999989</v>
      </c>
      <c r="F204">
        <f t="shared" si="46"/>
        <v>-0.69959999999999989</v>
      </c>
      <c r="G204">
        <f t="shared" si="47"/>
        <v>1.76301303764971</v>
      </c>
      <c r="H204">
        <f t="shared" si="48"/>
        <v>1.76301303764971</v>
      </c>
      <c r="I204">
        <f t="shared" si="49"/>
        <v>-1.5365202829163209</v>
      </c>
      <c r="J204">
        <f t="shared" si="50"/>
        <v>2.3386127406511981</v>
      </c>
      <c r="K204" s="5">
        <f t="shared" si="51"/>
        <v>0.17999999999999999</v>
      </c>
      <c r="N204" s="5">
        <f t="shared" si="52"/>
        <v>-79.200000000000003</v>
      </c>
      <c r="O204" s="5">
        <f t="shared" si="53"/>
        <v>-138.5025023527451</v>
      </c>
      <c r="P204" s="6">
        <f t="shared" si="54"/>
        <v>26.420765356587189</v>
      </c>
      <c r="Q204" s="6"/>
      <c r="R204" s="6">
        <f t="shared" si="55"/>
        <v>-6.0852522003210092</v>
      </c>
      <c r="S204" s="6">
        <f t="shared" si="56"/>
        <v>1.4003005638991211</v>
      </c>
      <c r="T204" s="6">
        <f t="shared" si="57"/>
        <v>1.4003005638991211</v>
      </c>
      <c r="U204" s="6">
        <f t="shared" si="58"/>
        <v>-4.9796484794659754</v>
      </c>
      <c r="V204" s="6">
        <f t="shared" si="59"/>
        <v>-4.9796484794659754</v>
      </c>
      <c r="W204" s="6">
        <f t="shared" si="60"/>
        <v>7.1960782365830118</v>
      </c>
      <c r="X204" s="6">
        <f t="shared" si="61"/>
        <v>8.7510251380093447</v>
      </c>
      <c r="Y204" s="6">
        <f t="shared" si="62"/>
        <v>-1.246522521174706</v>
      </c>
    </row>
    <row r="205" ht="14.25">
      <c r="A205">
        <v>-45</v>
      </c>
      <c r="B205">
        <f t="shared" si="44"/>
        <v>-13.5</v>
      </c>
      <c r="E205">
        <f t="shared" si="45"/>
        <v>-0.71550000000000002</v>
      </c>
      <c r="F205">
        <f t="shared" si="46"/>
        <v>-0.71550000000000002</v>
      </c>
      <c r="G205">
        <f t="shared" si="47"/>
        <v>1.750459233405965</v>
      </c>
      <c r="H205">
        <f t="shared" si="48"/>
        <v>1.750459233405965</v>
      </c>
      <c r="I205">
        <f t="shared" si="49"/>
        <v>-1.5524202829163209</v>
      </c>
      <c r="J205">
        <f t="shared" si="50"/>
        <v>2.3396829406195594</v>
      </c>
      <c r="K205" s="5">
        <f t="shared" si="51"/>
        <v>0.17999999999999999</v>
      </c>
      <c r="N205" s="5">
        <f t="shared" si="52"/>
        <v>-81</v>
      </c>
      <c r="O205" s="5">
        <f t="shared" si="53"/>
        <v>-139.26405602391443</v>
      </c>
      <c r="P205" s="6">
        <f t="shared" si="54"/>
        <v>22.05725957067256</v>
      </c>
      <c r="Q205" s="6"/>
      <c r="R205" s="6">
        <f t="shared" si="55"/>
        <v>-6.1256145448929837</v>
      </c>
      <c r="S205" s="6">
        <f t="shared" si="56"/>
        <v>1.1690347572456457</v>
      </c>
      <c r="T205" s="6">
        <f t="shared" si="57"/>
        <v>1.1690347572456457</v>
      </c>
      <c r="U205" s="6">
        <f t="shared" si="58"/>
        <v>-5.2026061488806832</v>
      </c>
      <c r="V205" s="6">
        <f t="shared" si="59"/>
        <v>-5.2026061488806832</v>
      </c>
      <c r="W205" s="6">
        <f t="shared" si="60"/>
        <v>6.9966804156260878</v>
      </c>
      <c r="X205" s="6">
        <f t="shared" si="61"/>
        <v>8.7189820265198819</v>
      </c>
      <c r="Y205" s="6">
        <f t="shared" si="62"/>
        <v>-1.2533765042152298</v>
      </c>
    </row>
    <row r="206" ht="14.25">
      <c r="A206">
        <v>-46</v>
      </c>
      <c r="B206">
        <f t="shared" si="44"/>
        <v>-13.800000000000001</v>
      </c>
      <c r="E206">
        <f t="shared" si="45"/>
        <v>-0.73140000000000005</v>
      </c>
      <c r="F206">
        <f t="shared" si="46"/>
        <v>-0.73140000000000005</v>
      </c>
      <c r="G206">
        <f t="shared" si="47"/>
        <v>1.73790542916222</v>
      </c>
      <c r="H206">
        <f t="shared" si="48"/>
        <v>1.73790542916222</v>
      </c>
      <c r="I206">
        <f t="shared" si="49"/>
        <v>-1.568320282916321</v>
      </c>
      <c r="J206">
        <f t="shared" si="50"/>
        <v>2.3409279763628459</v>
      </c>
      <c r="K206" s="5">
        <f t="shared" si="51"/>
        <v>0.17999999999999999</v>
      </c>
      <c r="N206" s="5">
        <f t="shared" si="52"/>
        <v>-82.799999999999997</v>
      </c>
      <c r="O206" s="5">
        <f t="shared" si="53"/>
        <v>-139.88817288534136</v>
      </c>
      <c r="P206" s="6">
        <f t="shared" si="54"/>
        <v>17.671985932566933</v>
      </c>
      <c r="Q206" s="6"/>
      <c r="R206" s="6">
        <f t="shared" si="55"/>
        <v>-6.158692738548611</v>
      </c>
      <c r="S206" s="6">
        <f t="shared" si="56"/>
        <v>0.93661525442604743</v>
      </c>
      <c r="T206" s="6">
        <f t="shared" si="57"/>
        <v>0.93661525442604743</v>
      </c>
      <c r="U206" s="6">
        <f t="shared" si="58"/>
        <v>-5.4191905652297532</v>
      </c>
      <c r="V206" s="6">
        <f t="shared" si="59"/>
        <v>-5.4191905652297532</v>
      </c>
      <c r="W206" s="6">
        <f t="shared" si="60"/>
        <v>6.7903777158184022</v>
      </c>
      <c r="X206" s="6">
        <f t="shared" si="61"/>
        <v>8.6877417034438995</v>
      </c>
      <c r="Y206" s="6">
        <f t="shared" si="62"/>
        <v>-1.2589935559680723</v>
      </c>
    </row>
    <row r="207" ht="14.25">
      <c r="A207">
        <v>-47</v>
      </c>
      <c r="B207">
        <f t="shared" si="44"/>
        <v>-14.1</v>
      </c>
      <c r="E207">
        <f t="shared" si="45"/>
        <v>-0.74729999999999996</v>
      </c>
      <c r="F207">
        <f t="shared" si="46"/>
        <v>-0.74729999999999996</v>
      </c>
      <c r="G207">
        <f t="shared" si="47"/>
        <v>1.7253516249184755</v>
      </c>
      <c r="H207">
        <f t="shared" si="48"/>
        <v>1.7253516249184755</v>
      </c>
      <c r="I207">
        <f t="shared" si="49"/>
        <v>-1.5842202829163208</v>
      </c>
      <c r="J207">
        <f t="shared" si="50"/>
        <v>2.3423475690879632</v>
      </c>
      <c r="K207" s="5">
        <f t="shared" si="51"/>
        <v>0.17999999999999999</v>
      </c>
      <c r="N207" s="5">
        <f t="shared" si="52"/>
        <v>-84.599999999999994</v>
      </c>
      <c r="O207" s="5">
        <f t="shared" si="53"/>
        <v>-140.37423700903429</v>
      </c>
      <c r="P207" s="6">
        <f t="shared" si="54"/>
        <v>13.269272177910546</v>
      </c>
      <c r="Q207" s="6"/>
      <c r="R207" s="6">
        <f t="shared" si="55"/>
        <v>-6.1844541371043364</v>
      </c>
      <c r="S207" s="6">
        <f t="shared" si="56"/>
        <v>0.70327142542925891</v>
      </c>
      <c r="T207" s="6">
        <f t="shared" si="57"/>
        <v>0.70327142542925891</v>
      </c>
      <c r="U207" s="6">
        <f t="shared" si="58"/>
        <v>-5.6291879858428082</v>
      </c>
      <c r="V207" s="6">
        <f t="shared" si="59"/>
        <v>-5.6291879858428082</v>
      </c>
      <c r="W207" s="6">
        <f t="shared" si="60"/>
        <v>6.577373733017442</v>
      </c>
      <c r="X207" s="6">
        <f t="shared" si="61"/>
        <v>8.6573438538471379</v>
      </c>
      <c r="Y207" s="6">
        <f t="shared" si="62"/>
        <v>-1.2633681330813085</v>
      </c>
    </row>
    <row r="208" ht="14.25">
      <c r="A208">
        <v>-48</v>
      </c>
      <c r="B208">
        <f t="shared" si="44"/>
        <v>-14.4</v>
      </c>
      <c r="E208">
        <f t="shared" si="45"/>
        <v>-0.76319999999999999</v>
      </c>
      <c r="F208">
        <f t="shared" si="46"/>
        <v>-0.76319999999999999</v>
      </c>
      <c r="G208">
        <f t="shared" si="47"/>
        <v>1.7127978206747305</v>
      </c>
      <c r="H208">
        <f t="shared" si="48"/>
        <v>1.7127978206747305</v>
      </c>
      <c r="I208">
        <f t="shared" si="49"/>
        <v>-1.600120282916321</v>
      </c>
      <c r="J208">
        <f t="shared" si="50"/>
        <v>2.3439414016370614</v>
      </c>
      <c r="K208" s="5">
        <f t="shared" si="51"/>
        <v>0.17999999999999999</v>
      </c>
      <c r="N208" s="5">
        <f t="shared" si="52"/>
        <v>-86.400000000000006</v>
      </c>
      <c r="O208" s="5">
        <f t="shared" si="53"/>
        <v>-140.72176870838629</v>
      </c>
      <c r="P208" s="6">
        <f t="shared" si="54"/>
        <v>8.8534632536331763</v>
      </c>
      <c r="Q208" s="6"/>
      <c r="R208" s="6">
        <f t="shared" si="55"/>
        <v>-6.2028733171699919</v>
      </c>
      <c r="S208" s="6">
        <f t="shared" si="56"/>
        <v>0.46923355244255832</v>
      </c>
      <c r="T208" s="6">
        <f t="shared" si="57"/>
        <v>0.46923355244255832</v>
      </c>
      <c r="U208" s="6">
        <f t="shared" si="58"/>
        <v>-5.8323911686189955</v>
      </c>
      <c r="V208" s="6">
        <f t="shared" si="59"/>
        <v>-5.8323911686189955</v>
      </c>
      <c r="W208" s="6">
        <f t="shared" si="60"/>
        <v>6.3578786764379442</v>
      </c>
      <c r="X208" s="6">
        <f t="shared" si="61"/>
        <v>8.6278275369926796</v>
      </c>
      <c r="Y208" s="6">
        <f t="shared" si="62"/>
        <v>-1.2664959183754767</v>
      </c>
    </row>
    <row r="209" ht="14.25">
      <c r="A209">
        <v>-49</v>
      </c>
      <c r="B209">
        <f t="shared" si="44"/>
        <v>-14.699999999999999</v>
      </c>
      <c r="E209">
        <f t="shared" si="45"/>
        <v>-0.7790999999999999</v>
      </c>
      <c r="F209">
        <f t="shared" si="46"/>
        <v>-0.7790999999999999</v>
      </c>
      <c r="G209">
        <f t="shared" si="47"/>
        <v>1.7002440164309858</v>
      </c>
      <c r="H209">
        <f t="shared" si="48"/>
        <v>1.7002440164309858</v>
      </c>
      <c r="I209">
        <f t="shared" si="49"/>
        <v>-1.6160202829163208</v>
      </c>
      <c r="J209">
        <f t="shared" si="50"/>
        <v>2.3457091188394004</v>
      </c>
      <c r="K209" s="5">
        <f t="shared" si="51"/>
        <v>0.17999999999999999</v>
      </c>
      <c r="N209" s="5">
        <f t="shared" si="52"/>
        <v>-88.200000000000003</v>
      </c>
      <c r="O209" s="5">
        <f t="shared" si="53"/>
        <v>-140.93042501156816</v>
      </c>
      <c r="P209" s="6">
        <f t="shared" si="54"/>
        <v>4.4289170300161036</v>
      </c>
      <c r="Q209" s="6"/>
      <c r="R209" s="6">
        <f t="shared" si="55"/>
        <v>-6.2139321012386315</v>
      </c>
      <c r="S209" s="6">
        <f t="shared" si="56"/>
        <v>0.23473260259085349</v>
      </c>
      <c r="T209" s="6">
        <f t="shared" si="57"/>
        <v>0.23473260259085349</v>
      </c>
      <c r="U209" s="6">
        <f t="shared" si="58"/>
        <v>-6.0285995765499321</v>
      </c>
      <c r="V209" s="6">
        <f t="shared" si="59"/>
        <v>-6.0285995765499321</v>
      </c>
      <c r="W209" s="6">
        <f t="shared" si="60"/>
        <v>6.1321091612008027</v>
      </c>
      <c r="X209" s="6">
        <f t="shared" si="61"/>
        <v>8.5992311062827493</v>
      </c>
      <c r="Y209" s="6">
        <f t="shared" si="62"/>
        <v>-1.2683738251041135</v>
      </c>
    </row>
    <row r="210" ht="14.25">
      <c r="A210">
        <v>-50</v>
      </c>
      <c r="B210">
        <f t="shared" si="44"/>
        <v>-15</v>
      </c>
      <c r="E210">
        <f t="shared" si="45"/>
        <v>-0.79499999999999993</v>
      </c>
      <c r="F210">
        <f t="shared" si="46"/>
        <v>-0.79499999999999993</v>
      </c>
      <c r="G210">
        <f t="shared" si="47"/>
        <v>1.687690212187241</v>
      </c>
      <c r="H210">
        <f t="shared" si="48"/>
        <v>1.687690212187241</v>
      </c>
      <c r="I210">
        <f t="shared" si="49"/>
        <v>-1.6319202829163209</v>
      </c>
      <c r="J210">
        <f t="shared" si="50"/>
        <v>2.3476503279036889</v>
      </c>
      <c r="K210" s="5">
        <f t="shared" si="51"/>
        <v>0.17999999999999999</v>
      </c>
      <c r="N210" s="5">
        <f t="shared" si="52"/>
        <v>-90</v>
      </c>
      <c r="O210" s="5">
        <f t="shared" si="53"/>
        <v>-141</v>
      </c>
      <c r="P210" s="6">
        <f t="shared" si="54"/>
        <v>8.6337599339888406e-15</v>
      </c>
      <c r="Q210" s="6"/>
      <c r="R210" s="6">
        <f t="shared" si="55"/>
        <v>-6.2176195756255188</v>
      </c>
      <c r="S210" s="6">
        <f t="shared" si="56"/>
        <v>4.5758927650140853e-16</v>
      </c>
      <c r="T210" s="6">
        <f t="shared" si="57"/>
        <v>4.5758927650140853e-16</v>
      </c>
      <c r="U210" s="6">
        <f t="shared" si="58"/>
        <v>-6.2176195756255188</v>
      </c>
      <c r="V210" s="6">
        <f t="shared" si="59"/>
        <v>-6.2176195756255188</v>
      </c>
      <c r="W210" s="6">
        <f t="shared" si="60"/>
        <v>5.9002879945600624</v>
      </c>
      <c r="X210" s="6">
        <f t="shared" si="61"/>
        <v>8.5715921278343181</v>
      </c>
      <c r="Y210" s="6">
        <f t="shared" si="62"/>
        <v>-1.2689999999999999</v>
      </c>
    </row>
    <row r="211" ht="14.25">
      <c r="A211">
        <v>-51</v>
      </c>
      <c r="B211">
        <f t="shared" si="44"/>
        <v>-15.300000000000001</v>
      </c>
      <c r="E211">
        <f t="shared" si="45"/>
        <v>-0.81090000000000007</v>
      </c>
      <c r="F211">
        <f t="shared" si="46"/>
        <v>-0.81090000000000007</v>
      </c>
      <c r="G211">
        <f t="shared" si="47"/>
        <v>1.6751364079434961</v>
      </c>
      <c r="H211">
        <f t="shared" si="48"/>
        <v>1.6751364079434961</v>
      </c>
      <c r="I211">
        <f t="shared" si="49"/>
        <v>-1.6478202829163209</v>
      </c>
      <c r="J211">
        <f t="shared" si="50"/>
        <v>2.3497645988499065</v>
      </c>
      <c r="K211" s="5">
        <f t="shared" si="51"/>
        <v>0.17999999999999999</v>
      </c>
      <c r="N211" s="5">
        <f t="shared" si="52"/>
        <v>-91.799999999999997</v>
      </c>
      <c r="O211" s="5">
        <f t="shared" si="53"/>
        <v>-140.93042501156816</v>
      </c>
      <c r="P211" s="6">
        <f t="shared" si="54"/>
        <v>-4.4289170300160876</v>
      </c>
      <c r="Q211" s="6"/>
      <c r="R211" s="6">
        <f t="shared" si="55"/>
        <v>-6.2139321012386315</v>
      </c>
      <c r="S211" s="6">
        <f t="shared" si="56"/>
        <v>-0.23473260259085263</v>
      </c>
      <c r="T211" s="6">
        <f t="shared" si="57"/>
        <v>-0.23473260259085263</v>
      </c>
      <c r="U211" s="6">
        <f t="shared" si="58"/>
        <v>-6.39926462592733</v>
      </c>
      <c r="V211" s="6">
        <f t="shared" si="59"/>
        <v>-6.39926462592733</v>
      </c>
      <c r="W211" s="6">
        <f t="shared" si="60"/>
        <v>5.662643956019096</v>
      </c>
      <c r="X211" s="6">
        <f t="shared" si="61"/>
        <v>8.5449472979816807</v>
      </c>
      <c r="Y211" s="6">
        <f t="shared" si="62"/>
        <v>-1.2683738251041135</v>
      </c>
    </row>
    <row r="212" ht="14.25">
      <c r="A212">
        <v>-52</v>
      </c>
      <c r="B212">
        <f t="shared" si="44"/>
        <v>-15.6</v>
      </c>
      <c r="E212">
        <f t="shared" si="45"/>
        <v>-0.82679999999999998</v>
      </c>
      <c r="F212">
        <f t="shared" si="46"/>
        <v>-0.82679999999999998</v>
      </c>
      <c r="G212">
        <f t="shared" si="47"/>
        <v>1.6625826036997513</v>
      </c>
      <c r="H212">
        <f t="shared" si="48"/>
        <v>1.6625826036997513</v>
      </c>
      <c r="I212">
        <f t="shared" si="49"/>
        <v>-1.6637202829163209</v>
      </c>
      <c r="J212">
        <f t="shared" si="50"/>
        <v>2.3520514649794988</v>
      </c>
      <c r="K212" s="5">
        <f t="shared" si="51"/>
        <v>0.17999999999999999</v>
      </c>
      <c r="N212" s="5">
        <f t="shared" si="52"/>
        <v>-93.599999999999994</v>
      </c>
      <c r="O212" s="5">
        <f t="shared" si="53"/>
        <v>-140.72176870838629</v>
      </c>
      <c r="P212" s="6">
        <f t="shared" si="54"/>
        <v>-8.8534632536331888</v>
      </c>
      <c r="Q212" s="6"/>
      <c r="R212" s="6">
        <f t="shared" si="55"/>
        <v>-6.2028733171699919</v>
      </c>
      <c r="S212" s="6">
        <f t="shared" si="56"/>
        <v>-0.46923355244255899</v>
      </c>
      <c r="T212" s="6">
        <f t="shared" si="57"/>
        <v>-0.46923355244255899</v>
      </c>
      <c r="U212" s="6">
        <f t="shared" si="58"/>
        <v>-6.5733554657209892</v>
      </c>
      <c r="V212" s="6">
        <f t="shared" si="59"/>
        <v>-6.5733554657209892</v>
      </c>
      <c r="W212" s="6">
        <f t="shared" si="60"/>
        <v>5.4194115715528266</v>
      </c>
      <c r="X212" s="6">
        <f t="shared" si="61"/>
        <v>8.5193323600270858</v>
      </c>
      <c r="Y212" s="6">
        <f t="shared" si="62"/>
        <v>-1.2664959183754767</v>
      </c>
    </row>
    <row r="213" ht="14.25">
      <c r="A213">
        <v>-53</v>
      </c>
      <c r="B213">
        <f t="shared" si="44"/>
        <v>-15.9</v>
      </c>
      <c r="E213">
        <f t="shared" si="45"/>
        <v>-0.8427</v>
      </c>
      <c r="F213">
        <f t="shared" si="46"/>
        <v>-0.8427</v>
      </c>
      <c r="G213">
        <f t="shared" si="47"/>
        <v>1.6500287994560066</v>
      </c>
      <c r="H213">
        <f t="shared" si="48"/>
        <v>1.6500287994560066</v>
      </c>
      <c r="I213">
        <f t="shared" si="49"/>
        <v>-1.6796202829163209</v>
      </c>
      <c r="J213">
        <f t="shared" si="50"/>
        <v>2.3545104233827745</v>
      </c>
      <c r="K213" s="5">
        <f t="shared" si="51"/>
        <v>0.17999999999999999</v>
      </c>
      <c r="N213" s="5">
        <f t="shared" si="52"/>
        <v>-95.400000000000006</v>
      </c>
      <c r="O213" s="5">
        <f t="shared" si="53"/>
        <v>-140.37423700903429</v>
      </c>
      <c r="P213" s="6">
        <f t="shared" si="54"/>
        <v>-13.269272177910528</v>
      </c>
      <c r="Q213" s="6"/>
      <c r="R213" s="6">
        <f t="shared" si="55"/>
        <v>-6.1844541371043364</v>
      </c>
      <c r="S213" s="6">
        <f t="shared" si="56"/>
        <v>-0.70327142542925791</v>
      </c>
      <c r="T213" s="6">
        <f t="shared" si="57"/>
        <v>-0.70327142542925791</v>
      </c>
      <c r="U213" s="6">
        <f t="shared" si="58"/>
        <v>-6.7397202883658638</v>
      </c>
      <c r="V213" s="6">
        <f t="shared" si="59"/>
        <v>-6.7397202883658638</v>
      </c>
      <c r="W213" s="6">
        <f t="shared" si="60"/>
        <v>5.1708308821589251</v>
      </c>
      <c r="X213" s="6">
        <f t="shared" si="61"/>
        <v>8.4947820205876319</v>
      </c>
      <c r="Y213" s="6">
        <f t="shared" si="62"/>
        <v>-1.2633681330813085</v>
      </c>
    </row>
    <row r="214" ht="14.25">
      <c r="A214">
        <v>-54</v>
      </c>
      <c r="B214">
        <f t="shared" si="44"/>
        <v>-16.199999999999999</v>
      </c>
      <c r="E214">
        <f t="shared" si="45"/>
        <v>-0.85859999999999992</v>
      </c>
      <c r="F214">
        <f t="shared" si="46"/>
        <v>-0.85859999999999992</v>
      </c>
      <c r="G214">
        <f t="shared" si="47"/>
        <v>1.6374749952122616</v>
      </c>
      <c r="H214">
        <f t="shared" si="48"/>
        <v>1.6374749952122616</v>
      </c>
      <c r="I214">
        <f t="shared" si="49"/>
        <v>-1.6955202829163207</v>
      </c>
      <c r="J214">
        <f t="shared" si="50"/>
        <v>2.3571409354822288</v>
      </c>
      <c r="K214" s="5">
        <f t="shared" si="51"/>
        <v>0.17999999999999999</v>
      </c>
      <c r="N214" s="5">
        <f t="shared" si="52"/>
        <v>-97.200000000000003</v>
      </c>
      <c r="O214" s="5">
        <f t="shared" si="53"/>
        <v>-139.88817288534136</v>
      </c>
      <c r="P214" s="6">
        <f t="shared" si="54"/>
        <v>-17.671985932566916</v>
      </c>
      <c r="Q214" s="6"/>
      <c r="R214" s="6">
        <f t="shared" si="55"/>
        <v>-6.158692738548611</v>
      </c>
      <c r="S214" s="6">
        <f t="shared" si="56"/>
        <v>-0.93661525442604654</v>
      </c>
      <c r="T214" s="6">
        <f t="shared" si="57"/>
        <v>-0.93661525442604654</v>
      </c>
      <c r="U214" s="6">
        <f t="shared" si="58"/>
        <v>-6.8981949118674679</v>
      </c>
      <c r="V214" s="6">
        <f t="shared" si="59"/>
        <v>-6.8981949118674679</v>
      </c>
      <c r="W214" s="6">
        <f t="shared" si="60"/>
        <v>4.9171472069663089</v>
      </c>
      <c r="X214" s="6">
        <f t="shared" si="61"/>
        <v>8.4713298659118923</v>
      </c>
      <c r="Y214" s="6">
        <f t="shared" si="62"/>
        <v>-1.2589935559680723</v>
      </c>
    </row>
    <row r="215" ht="14.25">
      <c r="A215">
        <v>-55</v>
      </c>
      <c r="B215">
        <f t="shared" si="44"/>
        <v>-16.5</v>
      </c>
      <c r="E215">
        <f t="shared" si="45"/>
        <v>-0.87449999999999994</v>
      </c>
      <c r="F215">
        <f t="shared" si="46"/>
        <v>-0.87449999999999994</v>
      </c>
      <c r="G215">
        <f t="shared" si="47"/>
        <v>1.6249211909685168</v>
      </c>
      <c r="H215">
        <f t="shared" si="48"/>
        <v>1.6249211909685168</v>
      </c>
      <c r="I215">
        <f t="shared" si="49"/>
        <v>-1.711420282916321</v>
      </c>
      <c r="J215">
        <f t="shared" si="50"/>
        <v>2.3599424276104539</v>
      </c>
      <c r="K215" s="5">
        <f t="shared" si="51"/>
        <v>0.17999999999999999</v>
      </c>
      <c r="N215" s="5">
        <f t="shared" si="52"/>
        <v>-99</v>
      </c>
      <c r="O215" s="5">
        <f t="shared" si="53"/>
        <v>-139.26405602391441</v>
      </c>
      <c r="P215" s="6">
        <f t="shared" si="54"/>
        <v>-22.057259570672574</v>
      </c>
      <c r="Q215" s="6"/>
      <c r="R215" s="6">
        <f t="shared" si="55"/>
        <v>-6.125614544892982</v>
      </c>
      <c r="S215" s="6">
        <f t="shared" si="56"/>
        <v>-1.1690347572456463</v>
      </c>
      <c r="T215" s="6">
        <f t="shared" si="57"/>
        <v>-1.1690347572456463</v>
      </c>
      <c r="U215" s="6">
        <f t="shared" si="58"/>
        <v>-7.0486229409052825</v>
      </c>
      <c r="V215" s="6">
        <f t="shared" si="59"/>
        <v>-7.0486229409052825</v>
      </c>
      <c r="W215" s="6">
        <f t="shared" si="60"/>
        <v>4.6586109011347938</v>
      </c>
      <c r="X215" s="6">
        <f t="shared" si="61"/>
        <v>8.449008278563122</v>
      </c>
      <c r="Y215" s="6">
        <f t="shared" si="62"/>
        <v>-1.2533765042152298</v>
      </c>
    </row>
    <row r="216" ht="14.25">
      <c r="A216">
        <v>-56</v>
      </c>
      <c r="B216">
        <f t="shared" si="44"/>
        <v>-16.800000000000001</v>
      </c>
      <c r="E216">
        <f t="shared" si="45"/>
        <v>-0.89039999999999997</v>
      </c>
      <c r="F216">
        <f t="shared" si="46"/>
        <v>-0.89039999999999997</v>
      </c>
      <c r="G216">
        <f t="shared" si="47"/>
        <v>1.6123673867247721</v>
      </c>
      <c r="H216">
        <f t="shared" si="48"/>
        <v>1.6123673867247721</v>
      </c>
      <c r="I216">
        <f t="shared" si="49"/>
        <v>-1.7273202829163208</v>
      </c>
      <c r="J216">
        <f t="shared" si="50"/>
        <v>2.3629142916212151</v>
      </c>
      <c r="K216" s="5">
        <f t="shared" si="51"/>
        <v>0.17999999999999999</v>
      </c>
      <c r="N216" s="5">
        <f t="shared" si="52"/>
        <v>-100.8</v>
      </c>
      <c r="O216" s="5">
        <f t="shared" si="53"/>
        <v>-138.5025023527451</v>
      </c>
      <c r="P216" s="6">
        <f t="shared" si="54"/>
        <v>-26.420765356587136</v>
      </c>
      <c r="Q216" s="6"/>
      <c r="R216" s="6">
        <f t="shared" si="55"/>
        <v>-6.0852522003210092</v>
      </c>
      <c r="S216" s="6">
        <f t="shared" si="56"/>
        <v>-1.4003005638991182</v>
      </c>
      <c r="T216" s="6">
        <f t="shared" si="57"/>
        <v>-1.4003005638991182</v>
      </c>
      <c r="U216" s="6">
        <f t="shared" si="58"/>
        <v>-7.1908559211760412</v>
      </c>
      <c r="V216" s="6">
        <f t="shared" si="59"/>
        <v>-7.1908559211760412</v>
      </c>
      <c r="W216" s="6">
        <f t="shared" si="60"/>
        <v>4.3954771087847728</v>
      </c>
      <c r="X216" s="6">
        <f t="shared" si="61"/>
        <v>8.4278483548865228</v>
      </c>
      <c r="Y216" s="6">
        <f t="shared" si="62"/>
        <v>-1.246522521174706</v>
      </c>
    </row>
    <row r="217" ht="14.25">
      <c r="A217">
        <v>-57</v>
      </c>
      <c r="B217">
        <f t="shared" si="44"/>
        <v>-17.100000000000001</v>
      </c>
      <c r="E217">
        <f t="shared" si="45"/>
        <v>-0.90629999999999999</v>
      </c>
      <c r="F217">
        <f t="shared" si="46"/>
        <v>-0.90629999999999999</v>
      </c>
      <c r="G217">
        <f t="shared" si="47"/>
        <v>1.5998135824810271</v>
      </c>
      <c r="H217">
        <f t="shared" si="48"/>
        <v>1.5998135824810271</v>
      </c>
      <c r="I217">
        <f t="shared" si="49"/>
        <v>-1.743220282916321</v>
      </c>
      <c r="J217">
        <f t="shared" si="50"/>
        <v>2.3660558855322154</v>
      </c>
      <c r="K217" s="5">
        <f t="shared" si="51"/>
        <v>0.17999999999999999</v>
      </c>
      <c r="N217" s="5">
        <f t="shared" si="52"/>
        <v>-102.59999999999999</v>
      </c>
      <c r="O217" s="5">
        <f t="shared" si="53"/>
        <v>-137.6042634333634</v>
      </c>
      <c r="P217" s="6">
        <f t="shared" si="54"/>
        <v>-30.75819703691247</v>
      </c>
      <c r="Q217" s="6"/>
      <c r="R217" s="6">
        <f t="shared" si="55"/>
        <v>-6.0376455375937788</v>
      </c>
      <c r="S217" s="6">
        <f t="shared" si="56"/>
        <v>-1.6301844429563608</v>
      </c>
      <c r="T217" s="6">
        <f t="shared" si="57"/>
        <v>-1.6301844429563608</v>
      </c>
      <c r="U217" s="6">
        <f t="shared" si="58"/>
        <v>-7.3247534859002155</v>
      </c>
      <c r="V217" s="6">
        <f t="shared" si="59"/>
        <v>-7.3247534859002155</v>
      </c>
      <c r="W217" s="6">
        <f t="shared" si="60"/>
        <v>4.1280055112007616</v>
      </c>
      <c r="X217" s="6">
        <f t="shared" si="61"/>
        <v>8.4078798236958185</v>
      </c>
      <c r="Y217" s="6">
        <f t="shared" si="62"/>
        <v>-1.2384383709002706</v>
      </c>
    </row>
    <row r="218" ht="14.25">
      <c r="A218">
        <v>-58</v>
      </c>
      <c r="B218">
        <f t="shared" si="44"/>
        <v>-17.399999999999999</v>
      </c>
      <c r="E218">
        <f t="shared" si="45"/>
        <v>-0.92219999999999991</v>
      </c>
      <c r="F218">
        <f t="shared" si="46"/>
        <v>-0.92219999999999991</v>
      </c>
      <c r="G218">
        <f t="shared" si="47"/>
        <v>1.5872597782372824</v>
      </c>
      <c r="H218">
        <f t="shared" si="48"/>
        <v>1.5872597782372824</v>
      </c>
      <c r="I218">
        <f t="shared" si="49"/>
        <v>-1.7591202829163208</v>
      </c>
      <c r="J218">
        <f t="shared" si="50"/>
        <v>2.3693665341980044</v>
      </c>
      <c r="K218" s="5">
        <f t="shared" si="51"/>
        <v>0.17999999999999999</v>
      </c>
      <c r="N218" s="5">
        <f t="shared" si="52"/>
        <v>-104.40000000000001</v>
      </c>
      <c r="O218" s="5">
        <f t="shared" si="53"/>
        <v>-136.57022571913697</v>
      </c>
      <c r="P218" s="6">
        <f t="shared" si="54"/>
        <v>-35.065274090244536</v>
      </c>
      <c r="Q218" s="6"/>
      <c r="R218" s="6">
        <f t="shared" si="55"/>
        <v>-5.9828415387397786</v>
      </c>
      <c r="S218" s="6">
        <f t="shared" si="56"/>
        <v>-1.8584595267829604</v>
      </c>
      <c r="T218" s="6">
        <f t="shared" si="57"/>
        <v>-1.8584595267829604</v>
      </c>
      <c r="U218" s="6">
        <f t="shared" si="58"/>
        <v>-7.4501834943470682</v>
      </c>
      <c r="V218" s="6">
        <f t="shared" si="59"/>
        <v>-7.4501834943470682</v>
      </c>
      <c r="W218" s="6">
        <f t="shared" si="60"/>
        <v>3.8564600705573362</v>
      </c>
      <c r="X218" s="6">
        <f t="shared" si="61"/>
        <v>8.3891309666284606</v>
      </c>
      <c r="Y218" s="6">
        <f t="shared" si="62"/>
        <v>-1.2291320314722327</v>
      </c>
    </row>
    <row r="219" ht="14.25">
      <c r="A219">
        <v>-59</v>
      </c>
      <c r="B219">
        <f t="shared" si="44"/>
        <v>-17.699999999999999</v>
      </c>
      <c r="E219">
        <f t="shared" si="45"/>
        <v>-0.93809999999999993</v>
      </c>
      <c r="F219">
        <f t="shared" si="46"/>
        <v>-0.93809999999999993</v>
      </c>
      <c r="G219">
        <f t="shared" si="47"/>
        <v>1.5747059739935376</v>
      </c>
      <c r="H219">
        <f t="shared" si="48"/>
        <v>1.5747059739935376</v>
      </c>
      <c r="I219">
        <f t="shared" si="49"/>
        <v>-1.7750202829163209</v>
      </c>
      <c r="J219">
        <f t="shared" si="50"/>
        <v>2.3728455300114399</v>
      </c>
      <c r="K219" s="5">
        <f t="shared" si="51"/>
        <v>0.17999999999999999</v>
      </c>
      <c r="N219" s="5">
        <f t="shared" si="52"/>
        <v>-106.2</v>
      </c>
      <c r="O219" s="5">
        <f t="shared" si="53"/>
        <v>-135.40140968044898</v>
      </c>
      <c r="P219" s="6">
        <f t="shared" si="54"/>
        <v>-39.337745951531311</v>
      </c>
      <c r="Q219" s="6"/>
      <c r="R219" s="6">
        <f t="shared" si="55"/>
        <v>-5.9208942886893148</v>
      </c>
      <c r="S219" s="6">
        <f t="shared" si="56"/>
        <v>-2.0849005354311596</v>
      </c>
      <c r="T219" s="6">
        <f t="shared" si="57"/>
        <v>-2.0849005354311596</v>
      </c>
      <c r="U219" s="6">
        <f t="shared" si="58"/>
        <v>-7.5670221622416118</v>
      </c>
      <c r="V219" s="6">
        <f t="shared" si="59"/>
        <v>-7.5670221622416118</v>
      </c>
      <c r="W219" s="6">
        <f t="shared" si="60"/>
        <v>3.5811087694203416</v>
      </c>
      <c r="X219" s="6">
        <f t="shared" si="61"/>
        <v>8.3716285406290574</v>
      </c>
      <c r="Y219" s="6">
        <f t="shared" si="62"/>
        <v>-1.2186126871240408</v>
      </c>
    </row>
    <row r="220" ht="14.25">
      <c r="A220">
        <v>-60</v>
      </c>
      <c r="B220">
        <f t="shared" si="44"/>
        <v>-18</v>
      </c>
      <c r="E220">
        <f t="shared" si="45"/>
        <v>-0.95399999999999996</v>
      </c>
      <c r="F220">
        <f t="shared" si="46"/>
        <v>-0.95399999999999996</v>
      </c>
      <c r="G220">
        <f t="shared" si="47"/>
        <v>1.5621521697497927</v>
      </c>
      <c r="H220">
        <f t="shared" si="48"/>
        <v>1.5621521697497927</v>
      </c>
      <c r="I220">
        <f t="shared" si="49"/>
        <v>-1.7909202829163209</v>
      </c>
      <c r="J220">
        <f t="shared" si="50"/>
        <v>2.3764921336320599</v>
      </c>
      <c r="K220" s="5">
        <f t="shared" si="51"/>
        <v>0.17999999999999999</v>
      </c>
      <c r="N220" s="5">
        <f t="shared" si="52"/>
        <v>-108</v>
      </c>
      <c r="O220" s="5">
        <f t="shared" si="53"/>
        <v>-134.09896879761666</v>
      </c>
      <c r="P220" s="6">
        <f t="shared" si="54"/>
        <v>-43.571396206867576</v>
      </c>
      <c r="Q220" s="6"/>
      <c r="R220" s="6">
        <f t="shared" si="55"/>
        <v>-5.8518649218992023</v>
      </c>
      <c r="S220" s="6">
        <f t="shared" si="56"/>
        <v>-2.3092839989639815</v>
      </c>
      <c r="T220" s="6">
        <f t="shared" si="57"/>
        <v>-2.3092839989639815</v>
      </c>
      <c r="U220" s="6">
        <f t="shared" si="58"/>
        <v>-7.6751541839247386</v>
      </c>
      <c r="V220" s="6">
        <f t="shared" si="59"/>
        <v>-7.6751541839247386</v>
      </c>
      <c r="W220" s="6">
        <f t="shared" si="60"/>
        <v>3.3022233462804298</v>
      </c>
      <c r="X220" s="6">
        <f t="shared" si="61"/>
        <v>8.355397703026286</v>
      </c>
      <c r="Y220" s="6">
        <f t="shared" si="62"/>
        <v>-1.2068907191785501</v>
      </c>
    </row>
    <row r="221" ht="14.25">
      <c r="A221">
        <v>-61</v>
      </c>
      <c r="B221">
        <f t="shared" si="44"/>
        <v>-18.300000000000001</v>
      </c>
      <c r="E221">
        <f t="shared" si="45"/>
        <v>-0.96989999999999998</v>
      </c>
      <c r="F221">
        <f t="shared" si="46"/>
        <v>-0.96989999999999998</v>
      </c>
      <c r="G221">
        <f t="shared" si="47"/>
        <v>1.5495983655060479</v>
      </c>
      <c r="H221">
        <f t="shared" si="48"/>
        <v>1.5495983655060479</v>
      </c>
      <c r="I221">
        <f t="shared" si="49"/>
        <v>-1.8068202829163209</v>
      </c>
      <c r="J221">
        <f t="shared" si="50"/>
        <v>2.3803055747396864</v>
      </c>
      <c r="K221" s="5">
        <f t="shared" si="51"/>
        <v>0.17999999999999999</v>
      </c>
      <c r="N221" s="5">
        <f t="shared" si="52"/>
        <v>-109.8</v>
      </c>
      <c r="O221" s="5">
        <f t="shared" si="53"/>
        <v>-132.66418842254578</v>
      </c>
      <c r="P221" s="6">
        <f t="shared" si="54"/>
        <v>-47.762046754586081</v>
      </c>
      <c r="Q221" s="6"/>
      <c r="R221" s="6">
        <f t="shared" si="55"/>
        <v>-5.7758215620204449</v>
      </c>
      <c r="S221" s="6">
        <f t="shared" si="56"/>
        <v>-2.5313884779930622</v>
      </c>
      <c r="T221" s="6">
        <f t="shared" si="57"/>
        <v>-2.5313884779930622</v>
      </c>
      <c r="U221" s="6">
        <f t="shared" si="58"/>
        <v>-7.7744728461459811</v>
      </c>
      <c r="V221" s="6">
        <f t="shared" si="59"/>
        <v>-7.7744728461459811</v>
      </c>
      <c r="W221" s="6">
        <f t="shared" si="60"/>
        <v>3.0200790273799938</v>
      </c>
      <c r="X221" s="6">
        <f t="shared" si="61"/>
        <v>8.3404619396698703</v>
      </c>
      <c r="Y221" s="6">
        <f t="shared" si="62"/>
        <v>-1.193977695802912</v>
      </c>
    </row>
    <row r="222" ht="14.25">
      <c r="A222">
        <v>-62</v>
      </c>
      <c r="B222">
        <f t="shared" si="44"/>
        <v>-18.600000000000001</v>
      </c>
      <c r="E222">
        <f t="shared" si="45"/>
        <v>-0.98580000000000001</v>
      </c>
      <c r="F222">
        <f t="shared" si="46"/>
        <v>-0.98580000000000001</v>
      </c>
      <c r="G222">
        <f t="shared" si="47"/>
        <v>1.5370445612623032</v>
      </c>
      <c r="H222">
        <f t="shared" si="48"/>
        <v>1.5370445612623032</v>
      </c>
      <c r="I222">
        <f t="shared" si="49"/>
        <v>-1.8227202829163209</v>
      </c>
      <c r="J222">
        <f t="shared" si="50"/>
        <v>2.3842850528115509</v>
      </c>
      <c r="K222" s="5">
        <f t="shared" si="51"/>
        <v>0.17999999999999999</v>
      </c>
      <c r="N222" s="5">
        <f t="shared" si="52"/>
        <v>-111.59999999999999</v>
      </c>
      <c r="O222" s="5">
        <f t="shared" si="53"/>
        <v>-131.09848451024345</v>
      </c>
      <c r="P222" s="6">
        <f t="shared" si="54"/>
        <v>-51.905561928539598</v>
      </c>
      <c r="Q222" s="6"/>
      <c r="R222" s="6">
        <f t="shared" si="55"/>
        <v>-5.6928392546684217</v>
      </c>
      <c r="S222" s="6">
        <f t="shared" si="56"/>
        <v>-2.7509947822125986</v>
      </c>
      <c r="T222" s="6">
        <f t="shared" si="57"/>
        <v>-2.7509947822125986</v>
      </c>
      <c r="U222" s="6">
        <f t="shared" si="58"/>
        <v>-7.8648801333766203</v>
      </c>
      <c r="V222" s="6">
        <f t="shared" si="59"/>
        <v>-7.8648801333766203</v>
      </c>
      <c r="W222" s="6">
        <f t="shared" si="60"/>
        <v>2.7349542550980943</v>
      </c>
      <c r="X222" s="6">
        <f t="shared" si="61"/>
        <v>8.3268429965900896</v>
      </c>
      <c r="Y222" s="6">
        <f t="shared" si="62"/>
        <v>-1.179886360592191</v>
      </c>
    </row>
    <row r="223" ht="14.25">
      <c r="A223">
        <v>-63</v>
      </c>
      <c r="B223">
        <f t="shared" si="44"/>
        <v>-18.899999999999999</v>
      </c>
      <c r="E223">
        <f t="shared" si="45"/>
        <v>-1.0016999999999998</v>
      </c>
      <c r="F223">
        <f t="shared" si="46"/>
        <v>-1.0016999999999998</v>
      </c>
      <c r="G223">
        <f t="shared" si="47"/>
        <v>1.5244907570185584</v>
      </c>
      <c r="H223">
        <f t="shared" si="48"/>
        <v>1.5244907570185584</v>
      </c>
      <c r="I223">
        <f t="shared" si="49"/>
        <v>-1.8386202829163207</v>
      </c>
      <c r="J223">
        <f t="shared" si="50"/>
        <v>2.3884297379211952</v>
      </c>
      <c r="K223" s="5">
        <f t="shared" si="51"/>
        <v>0.17999999999999999</v>
      </c>
      <c r="N223" s="5">
        <f t="shared" si="52"/>
        <v>-113.40000000000001</v>
      </c>
      <c r="O223" s="5">
        <f t="shared" si="53"/>
        <v>-129.40340222144135</v>
      </c>
      <c r="P223" s="6">
        <f t="shared" si="54"/>
        <v>-55.997852579504041</v>
      </c>
      <c r="Q223" s="6"/>
      <c r="R223" s="6">
        <f t="shared" si="55"/>
        <v>-5.6029998933619103</v>
      </c>
      <c r="S223" s="6">
        <f t="shared" si="56"/>
        <v>-2.9678861867137143</v>
      </c>
      <c r="T223" s="6">
        <f t="shared" si="57"/>
        <v>-2.9678861867137143</v>
      </c>
      <c r="U223" s="6">
        <f t="shared" si="58"/>
        <v>-7.9462868245391576</v>
      </c>
      <c r="V223" s="6">
        <f t="shared" si="59"/>
        <v>-7.9462868245391576</v>
      </c>
      <c r="W223" s="6">
        <f t="shared" si="60"/>
        <v>2.4471304131614438</v>
      </c>
      <c r="X223" s="6">
        <f t="shared" si="61"/>
        <v>8.3145608156332766</v>
      </c>
      <c r="Y223" s="6">
        <f t="shared" si="62"/>
        <v>-1.1646306199929721</v>
      </c>
    </row>
    <row r="224" ht="14.25">
      <c r="A224">
        <v>-64</v>
      </c>
      <c r="B224">
        <f t="shared" si="44"/>
        <v>-19.199999999999999</v>
      </c>
      <c r="E224">
        <f t="shared" si="45"/>
        <v>-1.0175999999999998</v>
      </c>
      <c r="F224">
        <f t="shared" si="46"/>
        <v>-1.0175999999999998</v>
      </c>
      <c r="G224">
        <f t="shared" si="47"/>
        <v>1.5119369527748137</v>
      </c>
      <c r="H224">
        <f t="shared" si="48"/>
        <v>1.5119369527748137</v>
      </c>
      <c r="I224">
        <f t="shared" si="49"/>
        <v>-1.8545202829163208</v>
      </c>
      <c r="J224">
        <f t="shared" si="50"/>
        <v>2.3927387715574007</v>
      </c>
      <c r="K224" s="5">
        <f t="shared" si="51"/>
        <v>0.17999999999999999</v>
      </c>
      <c r="N224" s="5">
        <f t="shared" si="52"/>
        <v>-115.2</v>
      </c>
      <c r="O224" s="5">
        <f t="shared" si="53"/>
        <v>-127.58061439770874</v>
      </c>
      <c r="P224" s="6">
        <f t="shared" si="54"/>
        <v>-60.034880110675253</v>
      </c>
      <c r="Q224" s="6"/>
      <c r="R224" s="6">
        <f t="shared" si="55"/>
        <v>-5.506392138704082</v>
      </c>
      <c r="S224" s="6">
        <f t="shared" si="56"/>
        <v>-3.1818486458657884</v>
      </c>
      <c r="T224" s="6">
        <f t="shared" si="57"/>
        <v>-3.1818486458657884</v>
      </c>
      <c r="U224" s="6">
        <f t="shared" si="58"/>
        <v>-8.01861258105777</v>
      </c>
      <c r="V224" s="6">
        <f t="shared" si="59"/>
        <v>-8.01861258105777</v>
      </c>
      <c r="W224" s="6">
        <f t="shared" si="60"/>
        <v>2.1568915489526339</v>
      </c>
      <c r="X224" s="6">
        <f t="shared" si="61"/>
        <v>8.303633474512301</v>
      </c>
      <c r="Y224" s="6">
        <f t="shared" si="62"/>
        <v>-1.1482255295793788</v>
      </c>
    </row>
    <row r="225" ht="14.25">
      <c r="A225">
        <v>-65</v>
      </c>
      <c r="B225">
        <f t="shared" si="44"/>
        <v>-19.5</v>
      </c>
      <c r="E225">
        <f t="shared" si="45"/>
        <v>-1.0334999999999999</v>
      </c>
      <c r="F225">
        <f t="shared" si="46"/>
        <v>-1.0334999999999999</v>
      </c>
      <c r="G225">
        <f t="shared" si="47"/>
        <v>1.4993831485310687</v>
      </c>
      <c r="H225">
        <f t="shared" si="48"/>
        <v>1.4993831485310687</v>
      </c>
      <c r="I225">
        <f t="shared" si="49"/>
        <v>-1.8704202829163208</v>
      </c>
      <c r="J225">
        <f t="shared" si="50"/>
        <v>2.3972112674613619</v>
      </c>
      <c r="K225" s="5">
        <f t="shared" si="51"/>
        <v>0.17999999999999999</v>
      </c>
      <c r="N225" s="5">
        <f t="shared" si="52"/>
        <v>-117</v>
      </c>
      <c r="O225" s="5">
        <f t="shared" si="53"/>
        <v>-125.63191991055987</v>
      </c>
      <c r="P225" s="6">
        <f t="shared" si="54"/>
        <v>-64.012660463276092</v>
      </c>
      <c r="Q225" s="6"/>
      <c r="R225" s="6">
        <f t="shared" si="55"/>
        <v>-5.4031113308851921</v>
      </c>
      <c r="S225" s="6">
        <f t="shared" si="56"/>
        <v>-3.3926710045536326</v>
      </c>
      <c r="T225" s="6">
        <f t="shared" si="57"/>
        <v>-3.3926710045536326</v>
      </c>
      <c r="U225" s="6">
        <f t="shared" si="58"/>
        <v>-8.0817860261427619</v>
      </c>
      <c r="V225" s="6">
        <f t="shared" si="59"/>
        <v>-8.0817860261427619</v>
      </c>
      <c r="W225" s="6">
        <f t="shared" si="60"/>
        <v>1.8645240931896843</v>
      </c>
      <c r="X225" s="6">
        <f t="shared" si="61"/>
        <v>8.2940771316910986</v>
      </c>
      <c r="Y225" s="6">
        <f t="shared" si="62"/>
        <v>-1.1306872791950389</v>
      </c>
    </row>
    <row r="226" ht="14.25">
      <c r="A226">
        <v>-66</v>
      </c>
      <c r="B226">
        <f t="shared" si="44"/>
        <v>-19.800000000000001</v>
      </c>
      <c r="E226">
        <f t="shared" si="45"/>
        <v>-1.0494000000000001</v>
      </c>
      <c r="F226">
        <f t="shared" si="46"/>
        <v>-1.0494000000000001</v>
      </c>
      <c r="G226">
        <f t="shared" si="47"/>
        <v>1.4868293442873239</v>
      </c>
      <c r="H226">
        <f t="shared" si="48"/>
        <v>1.4868293442873239</v>
      </c>
      <c r="I226">
        <f t="shared" si="49"/>
        <v>-1.886320282916321</v>
      </c>
      <c r="J226">
        <f t="shared" si="50"/>
        <v>2.4018463124803349</v>
      </c>
      <c r="K226" s="5">
        <f t="shared" si="51"/>
        <v>0.17999999999999999</v>
      </c>
      <c r="N226" s="5">
        <f t="shared" si="52"/>
        <v>-118.8</v>
      </c>
      <c r="O226" s="5">
        <f t="shared" si="53"/>
        <v>-123.55924188618475</v>
      </c>
      <c r="P226" s="6">
        <f t="shared" si="54"/>
        <v>-67.927268048341872</v>
      </c>
      <c r="Q226" s="6"/>
      <c r="R226" s="6">
        <f t="shared" si="55"/>
        <v>-5.2932593955933109</v>
      </c>
      <c r="S226" s="6">
        <f t="shared" si="56"/>
        <v>-3.6001452065621193</v>
      </c>
      <c r="T226" s="6">
        <f t="shared" si="57"/>
        <v>-3.6001452065621193</v>
      </c>
      <c r="U226" s="6">
        <f t="shared" si="58"/>
        <v>-8.1357448152308631</v>
      </c>
      <c r="V226" s="6">
        <f t="shared" si="59"/>
        <v>-8.1357448152308631</v>
      </c>
      <c r="W226" s="6">
        <f t="shared" si="60"/>
        <v>1.570316577253474</v>
      </c>
      <c r="X226" s="6">
        <f t="shared" si="61"/>
        <v>8.2859059764972542</v>
      </c>
      <c r="Y226" s="6">
        <f t="shared" si="62"/>
        <v>-1.1120331769756628</v>
      </c>
    </row>
    <row r="227" ht="14.25">
      <c r="A227">
        <v>-67</v>
      </c>
      <c r="B227">
        <f t="shared" si="44"/>
        <v>-20.100000000000001</v>
      </c>
      <c r="E227">
        <f t="shared" si="45"/>
        <v>-1.0653000000000001</v>
      </c>
      <c r="F227">
        <f t="shared" si="46"/>
        <v>-1.0653000000000001</v>
      </c>
      <c r="G227">
        <f t="shared" si="47"/>
        <v>1.4742755400435792</v>
      </c>
      <c r="H227">
        <f t="shared" si="48"/>
        <v>1.4742755400435792</v>
      </c>
      <c r="I227">
        <f t="shared" si="49"/>
        <v>-1.9022202829163211</v>
      </c>
      <c r="J227">
        <f t="shared" si="50"/>
        <v>2.4066429674359751</v>
      </c>
      <c r="K227" s="5">
        <f t="shared" si="51"/>
        <v>0.17999999999999999</v>
      </c>
      <c r="N227" s="5">
        <f t="shared" si="52"/>
        <v>-120.59999999999999</v>
      </c>
      <c r="O227" s="5">
        <f t="shared" si="53"/>
        <v>-121.36462580755608</v>
      </c>
      <c r="P227" s="6">
        <f t="shared" si="54"/>
        <v>-71.774839620802297</v>
      </c>
      <c r="Q227" s="6"/>
      <c r="R227" s="6">
        <f t="shared" si="55"/>
        <v>-5.1769447434259908</v>
      </c>
      <c r="S227" s="6">
        <f t="shared" si="56"/>
        <v>-3.8040664999025218</v>
      </c>
      <c r="T227" s="6">
        <f t="shared" si="57"/>
        <v>-3.8040664999025218</v>
      </c>
      <c r="U227" s="6">
        <f t="shared" si="58"/>
        <v>-8.1804356975117614</v>
      </c>
      <c r="V227" s="6">
        <f t="shared" si="59"/>
        <v>-8.1804356975117614</v>
      </c>
      <c r="W227" s="6">
        <f t="shared" si="60"/>
        <v>1.2745593484421409</v>
      </c>
      <c r="X227" s="6">
        <f t="shared" si="61"/>
        <v>8.279132184826258</v>
      </c>
      <c r="Y227" s="6">
        <f t="shared" si="62"/>
        <v>-1.0922816322680047</v>
      </c>
    </row>
    <row r="228" ht="14.25">
      <c r="A228">
        <v>-68</v>
      </c>
      <c r="B228">
        <f t="shared" ref="B228:B260" si="63">$B$27*A228/100</f>
        <v>-20.399999999999999</v>
      </c>
      <c r="E228">
        <f t="shared" ref="E228:E260" si="64">B228*$B$7</f>
        <v>-1.0811999999999999</v>
      </c>
      <c r="F228">
        <f t="shared" ref="F228:F260" si="65">E228</f>
        <v>-1.0811999999999999</v>
      </c>
      <c r="G228">
        <f t="shared" ref="G228:G260" si="66">$D$60+B228*$B$8*$B$14</f>
        <v>1.4617217357998342</v>
      </c>
      <c r="H228">
        <f t="shared" ref="H228:H260" si="67">G228</f>
        <v>1.4617217357998342</v>
      </c>
      <c r="I228">
        <f t="shared" ref="I228:I260" si="68">E228-$B$26*$B$14*$B$9</f>
        <v>-1.9181202829163209</v>
      </c>
      <c r="J228">
        <f t="shared" ref="J228:J260" si="69">SQRT(I228*I228+H228*H228)</f>
        <v>2.4116002680055968</v>
      </c>
      <c r="K228" s="5">
        <f t="shared" ref="K228:K260" si="70">1.5*$B$13*($B$26*$B$6+$B$26*B228*($B$8-$B$9))</f>
        <v>0.17999999999999999</v>
      </c>
      <c r="N228" s="5">
        <f t="shared" ref="N228:N260" si="71">180*A228/100</f>
        <v>-122.40000000000001</v>
      </c>
      <c r="O228" s="5">
        <f t="shared" ref="O228:O260" si="72">$B$31*SIN(N228/180*PI())</f>
        <v>-119.05023749578412</v>
      </c>
      <c r="P228" s="6">
        <f t="shared" ref="P228:P260" si="73">$B$31*COS(N228/180*PI())</f>
        <v>-75.551578092038554</v>
      </c>
      <c r="Q228" s="6"/>
      <c r="R228" s="6">
        <f t="shared" ref="R228:R260" si="74">$Q$60+O228*$B$7</f>
        <v>-5.0542821629020773</v>
      </c>
      <c r="S228" s="6">
        <f t="shared" ref="S228:S260" si="75">P228*$B$7</f>
        <v>-4.0042336388780431</v>
      </c>
      <c r="T228" s="6">
        <f t="shared" ref="T228:T260" si="76">S228</f>
        <v>-4.0042336388780431</v>
      </c>
      <c r="U228" s="6">
        <f t="shared" ref="U228:U260" si="77">R228+P228*$B$8*$B$14</f>
        <v>-8.2158145684802477</v>
      </c>
      <c r="V228" s="6">
        <f t="shared" ref="V228:V260" si="78">U228</f>
        <v>-8.2158145684802477</v>
      </c>
      <c r="W228" s="6">
        <f t="shared" ref="W228:W260" si="79">S228-O228*$B$14*$B$9</f>
        <v>0.97754428343329902</v>
      </c>
      <c r="X228" s="6">
        <f t="shared" ref="X228:X260" si="80">SQRT(W228*W228+V228*V228)</f>
        <v>8.2737658807658683</v>
      </c>
      <c r="Y228" s="6">
        <f t="shared" ref="Y228:Y260" si="81">1.5*$B$13*(O228*$B$6+O228*P228*($B$8-$B$9))</f>
        <v>-1.0714521374620571</v>
      </c>
    </row>
    <row r="229" ht="14.25">
      <c r="A229">
        <v>-69</v>
      </c>
      <c r="B229">
        <f t="shared" si="63"/>
        <v>-20.699999999999999</v>
      </c>
      <c r="E229">
        <f t="shared" si="64"/>
        <v>-1.0971</v>
      </c>
      <c r="F229">
        <f t="shared" si="65"/>
        <v>-1.0971</v>
      </c>
      <c r="G229">
        <f t="shared" si="66"/>
        <v>1.4491679315560893</v>
      </c>
      <c r="H229">
        <f t="shared" si="67"/>
        <v>1.4491679315560893</v>
      </c>
      <c r="I229">
        <f t="shared" si="68"/>
        <v>-1.9340202829163209</v>
      </c>
      <c r="J229">
        <f t="shared" si="69"/>
        <v>2.4167172256145899</v>
      </c>
      <c r="K229" s="5">
        <f t="shared" si="70"/>
        <v>0.17999999999999999</v>
      </c>
      <c r="N229" s="5">
        <f t="shared" si="71"/>
        <v>-124.2</v>
      </c>
      <c r="O229" s="5">
        <f t="shared" si="72"/>
        <v>-116.61836097271321</v>
      </c>
      <c r="P229" s="6">
        <f t="shared" si="73"/>
        <v>-79.25375627715043</v>
      </c>
      <c r="Q229" s="6"/>
      <c r="R229" s="6">
        <f t="shared" si="74"/>
        <v>-4.9253927071793182</v>
      </c>
      <c r="S229" s="6">
        <f t="shared" si="75"/>
        <v>-4.2004490826889729</v>
      </c>
      <c r="T229" s="6">
        <f t="shared" si="76"/>
        <v>-4.2004490826889729</v>
      </c>
      <c r="U229" s="6">
        <f t="shared" si="77"/>
        <v>-8.2418465134620114</v>
      </c>
      <c r="V229" s="6">
        <f t="shared" si="78"/>
        <v>-8.2418465134620114</v>
      </c>
      <c r="W229" s="6">
        <f t="shared" si="79"/>
        <v>0.67956450023706605</v>
      </c>
      <c r="X229" s="6">
        <f t="shared" si="80"/>
        <v>8.2698151044293819</v>
      </c>
      <c r="Y229" s="6">
        <f t="shared" si="81"/>
        <v>-1.0495652487544187</v>
      </c>
    </row>
    <row r="230" ht="14.25">
      <c r="A230">
        <v>-70</v>
      </c>
      <c r="B230">
        <f t="shared" si="63"/>
        <v>-21</v>
      </c>
      <c r="E230">
        <f t="shared" si="64"/>
        <v>-1.113</v>
      </c>
      <c r="F230">
        <f t="shared" si="65"/>
        <v>-1.113</v>
      </c>
      <c r="G230">
        <f t="shared" si="66"/>
        <v>1.4366141273123445</v>
      </c>
      <c r="H230">
        <f t="shared" si="67"/>
        <v>1.4366141273123445</v>
      </c>
      <c r="I230">
        <f t="shared" si="68"/>
        <v>-1.9499202829163209</v>
      </c>
      <c r="J230">
        <f t="shared" si="69"/>
        <v>2.4219928283382415</v>
      </c>
      <c r="K230" s="5">
        <f t="shared" si="70"/>
        <v>0.17999999999999999</v>
      </c>
      <c r="N230" s="5">
        <f t="shared" si="71"/>
        <v>-126</v>
      </c>
      <c r="O230" s="5">
        <f t="shared" si="72"/>
        <v>-114.07139620686759</v>
      </c>
      <c r="P230" s="6">
        <f t="shared" si="73"/>
        <v>-82.87772057323869</v>
      </c>
      <c r="Q230" s="6"/>
      <c r="R230" s="6">
        <f t="shared" si="74"/>
        <v>-4.7904035745895008</v>
      </c>
      <c r="S230" s="6">
        <f t="shared" si="75"/>
        <v>-4.3925191903816501</v>
      </c>
      <c r="T230" s="6">
        <f t="shared" si="76"/>
        <v>-4.3925191903816501</v>
      </c>
      <c r="U230" s="6">
        <f t="shared" si="77"/>
        <v>-8.2585058420702371</v>
      </c>
      <c r="V230" s="6">
        <f t="shared" si="78"/>
        <v>-8.2585058420702371</v>
      </c>
      <c r="W230" s="6">
        <f t="shared" si="79"/>
        <v>0.38091406892391788</v>
      </c>
      <c r="X230" s="6">
        <f t="shared" si="80"/>
        <v>8.2672857862428106</v>
      </c>
      <c r="Y230" s="6">
        <f t="shared" si="81"/>
        <v>-1.0266425658618084</v>
      </c>
    </row>
    <row r="231" ht="14.25">
      <c r="A231">
        <v>-71</v>
      </c>
      <c r="B231">
        <f t="shared" si="63"/>
        <v>-21.300000000000001</v>
      </c>
      <c r="E231">
        <f t="shared" si="64"/>
        <v>-1.1289</v>
      </c>
      <c r="F231">
        <f t="shared" si="65"/>
        <v>-1.1289</v>
      </c>
      <c r="G231">
        <f t="shared" si="66"/>
        <v>1.4240603230685998</v>
      </c>
      <c r="H231">
        <f t="shared" si="67"/>
        <v>1.4240603230685998</v>
      </c>
      <c r="I231">
        <f t="shared" si="68"/>
        <v>-1.9658202829163209</v>
      </c>
      <c r="J231">
        <f t="shared" si="69"/>
        <v>2.4274260418112532</v>
      </c>
      <c r="K231" s="5">
        <f t="shared" si="70"/>
        <v>0.17999999999999999</v>
      </c>
      <c r="N231" s="5">
        <f t="shared" si="71"/>
        <v>-127.8</v>
      </c>
      <c r="O231" s="5">
        <f t="shared" si="72"/>
        <v>-111.41185674497237</v>
      </c>
      <c r="P231" s="6">
        <f t="shared" si="73"/>
        <v>-86.419894565069654</v>
      </c>
      <c r="Q231" s="6"/>
      <c r="R231" s="6">
        <f t="shared" si="74"/>
        <v>-4.6494479831090541</v>
      </c>
      <c r="S231" s="6">
        <f t="shared" si="75"/>
        <v>-4.5802544119486912</v>
      </c>
      <c r="T231" s="6">
        <f t="shared" si="76"/>
        <v>-4.5802544119486912</v>
      </c>
      <c r="U231" s="6">
        <f t="shared" si="77"/>
        <v>-8.2657761135588892</v>
      </c>
      <c r="V231" s="6">
        <f t="shared" si="78"/>
        <v>-8.2657761135588892</v>
      </c>
      <c r="W231" s="6">
        <f t="shared" si="79"/>
        <v>0.081887721413053782</v>
      </c>
      <c r="X231" s="6">
        <f t="shared" si="80"/>
        <v>8.2661817278837333</v>
      </c>
      <c r="Y231" s="6">
        <f t="shared" si="81"/>
        <v>-1.0027067107047514</v>
      </c>
    </row>
    <row r="232" ht="14.25">
      <c r="A232">
        <v>-72</v>
      </c>
      <c r="B232">
        <f t="shared" si="63"/>
        <v>-21.600000000000001</v>
      </c>
      <c r="E232">
        <f t="shared" si="64"/>
        <v>-1.1448</v>
      </c>
      <c r="F232">
        <f t="shared" si="65"/>
        <v>-1.1448</v>
      </c>
      <c r="G232">
        <f t="shared" si="66"/>
        <v>1.4115065188248548</v>
      </c>
      <c r="H232">
        <f t="shared" si="67"/>
        <v>1.4115065188248548</v>
      </c>
      <c r="I232">
        <f t="shared" si="68"/>
        <v>-1.981720282916321</v>
      </c>
      <c r="J232">
        <f t="shared" si="69"/>
        <v>2.4330158101432477</v>
      </c>
      <c r="K232" s="5">
        <f t="shared" si="70"/>
        <v>0.17999999999999999</v>
      </c>
      <c r="N232" s="5">
        <f t="shared" si="71"/>
        <v>-129.59999999999999</v>
      </c>
      <c r="O232" s="5">
        <f t="shared" si="72"/>
        <v>-108.64236723138629</v>
      </c>
      <c r="P232" s="6">
        <f t="shared" si="73"/>
        <v>-89.876782554565253</v>
      </c>
      <c r="Q232" s="6"/>
      <c r="R232" s="6">
        <f t="shared" si="74"/>
        <v>-4.5026650388889919</v>
      </c>
      <c r="S232" s="6">
        <f t="shared" si="75"/>
        <v>-4.7634694753919584</v>
      </c>
      <c r="T232" s="6">
        <f t="shared" si="76"/>
        <v>-4.7634694753919584</v>
      </c>
      <c r="U232" s="6">
        <f t="shared" si="77"/>
        <v>-8.2636501530477631</v>
      </c>
      <c r="V232" s="6">
        <f t="shared" si="78"/>
        <v>-8.2636501530477631</v>
      </c>
      <c r="W232" s="6">
        <f t="shared" si="79"/>
        <v>-0.21721943939242649</v>
      </c>
      <c r="X232" s="6">
        <f t="shared" si="80"/>
        <v>8.2665045900196716</v>
      </c>
      <c r="Y232" s="6">
        <f t="shared" si="81"/>
        <v>-0.97778130508247663</v>
      </c>
    </row>
    <row r="233" ht="14.25">
      <c r="A233">
        <v>-73</v>
      </c>
      <c r="B233">
        <f t="shared" si="63"/>
        <v>-21.899999999999999</v>
      </c>
      <c r="E233">
        <f t="shared" si="64"/>
        <v>-1.1606999999999998</v>
      </c>
      <c r="F233">
        <f t="shared" si="65"/>
        <v>-1.1606999999999998</v>
      </c>
      <c r="G233">
        <f t="shared" si="66"/>
        <v>1.3989527145811103</v>
      </c>
      <c r="H233">
        <f t="shared" si="67"/>
        <v>1.3989527145811103</v>
      </c>
      <c r="I233">
        <f t="shared" si="68"/>
        <v>-1.9976202829163208</v>
      </c>
      <c r="J233">
        <f t="shared" si="69"/>
        <v>2.4387610568386027</v>
      </c>
      <c r="K233" s="5">
        <f t="shared" si="70"/>
        <v>0.17999999999999999</v>
      </c>
      <c r="N233" s="5">
        <f t="shared" si="71"/>
        <v>-131.40000000000001</v>
      </c>
      <c r="O233" s="5">
        <f t="shared" si="72"/>
        <v>-105.7656608178948</v>
      </c>
      <c r="P233" s="6">
        <f t="shared" si="73"/>
        <v>-93.244973010634894</v>
      </c>
      <c r="Q233" s="6"/>
      <c r="R233" s="6">
        <f t="shared" si="74"/>
        <v>-4.3501995989739433</v>
      </c>
      <c r="S233" s="6">
        <f t="shared" si="75"/>
        <v>-4.9419835695636491</v>
      </c>
      <c r="T233" s="6">
        <f t="shared" si="76"/>
        <v>-4.9419835695636491</v>
      </c>
      <c r="U233" s="6">
        <f t="shared" si="77"/>
        <v>-8.2521300586032069</v>
      </c>
      <c r="V233" s="6">
        <f t="shared" si="78"/>
        <v>-8.2521300586032069</v>
      </c>
      <c r="W233" s="6">
        <f t="shared" si="79"/>
        <v>-0.5161122308364412</v>
      </c>
      <c r="X233" s="6">
        <f t="shared" si="80"/>
        <v>8.2682538869413982</v>
      </c>
      <c r="Y233" s="6">
        <f t="shared" si="81"/>
        <v>-0.95189094736105306</v>
      </c>
    </row>
    <row r="234" ht="14.25">
      <c r="A234">
        <v>-74</v>
      </c>
      <c r="B234">
        <f t="shared" si="63"/>
        <v>-22.199999999999999</v>
      </c>
      <c r="E234">
        <f t="shared" si="64"/>
        <v>-1.1765999999999999</v>
      </c>
      <c r="F234">
        <f t="shared" si="65"/>
        <v>-1.1765999999999999</v>
      </c>
      <c r="G234">
        <f t="shared" si="66"/>
        <v>1.3863989103373653</v>
      </c>
      <c r="H234">
        <f t="shared" si="67"/>
        <v>1.3863989103373653</v>
      </c>
      <c r="I234">
        <f t="shared" si="68"/>
        <v>-2.0135202829163208</v>
      </c>
      <c r="J234">
        <f t="shared" si="69"/>
        <v>2.4446606857189925</v>
      </c>
      <c r="K234" s="5">
        <f t="shared" si="70"/>
        <v>0.17999999999999999</v>
      </c>
      <c r="N234" s="5">
        <f t="shared" si="71"/>
        <v>-133.19999999999999</v>
      </c>
      <c r="O234" s="5">
        <f t="shared" si="72"/>
        <v>-102.78457646641901</v>
      </c>
      <c r="P234" s="6">
        <f t="shared" si="73"/>
        <v>-96.52114193594511</v>
      </c>
      <c r="Q234" s="6"/>
      <c r="R234" s="6">
        <f t="shared" si="74"/>
        <v>-4.192202128345726</v>
      </c>
      <c r="S234" s="6">
        <f t="shared" si="75"/>
        <v>-5.1156205226050906</v>
      </c>
      <c r="T234" s="6">
        <f t="shared" si="76"/>
        <v>-5.1156205226050906</v>
      </c>
      <c r="U234" s="6">
        <f t="shared" si="77"/>
        <v>-8.2312271991676038</v>
      </c>
      <c r="V234" s="6">
        <f t="shared" si="78"/>
        <v>-8.2312271991676038</v>
      </c>
      <c r="W234" s="6">
        <f t="shared" si="79"/>
        <v>-0.81449568181960963</v>
      </c>
      <c r="X234" s="6">
        <f t="shared" si="80"/>
        <v>8.2714269881332658</v>
      </c>
      <c r="Y234" s="6">
        <f t="shared" si="81"/>
        <v>-0.92506118819777106</v>
      </c>
    </row>
    <row r="235" ht="14.25">
      <c r="A235">
        <v>-75</v>
      </c>
      <c r="B235">
        <f t="shared" si="63"/>
        <v>-22.5</v>
      </c>
      <c r="E235">
        <f t="shared" si="64"/>
        <v>-1.1924999999999999</v>
      </c>
      <c r="F235">
        <f t="shared" si="65"/>
        <v>-1.1924999999999999</v>
      </c>
      <c r="G235">
        <f t="shared" si="66"/>
        <v>1.3738451060936205</v>
      </c>
      <c r="H235">
        <f t="shared" si="67"/>
        <v>1.3738451060936205</v>
      </c>
      <c r="I235">
        <f t="shared" si="68"/>
        <v>-2.0294202829163206</v>
      </c>
      <c r="J235">
        <f t="shared" si="69"/>
        <v>2.4507135818470402</v>
      </c>
      <c r="K235" s="5">
        <f t="shared" si="70"/>
        <v>0.17999999999999999</v>
      </c>
      <c r="N235" s="5">
        <f t="shared" si="71"/>
        <v>-135</v>
      </c>
      <c r="O235" s="5">
        <f t="shared" si="72"/>
        <v>-99.70205614730321</v>
      </c>
      <c r="P235" s="6">
        <f t="shared" si="73"/>
        <v>-99.702056147303196</v>
      </c>
      <c r="Q235" s="6"/>
      <c r="R235" s="6">
        <f t="shared" si="74"/>
        <v>-4.0288285514325892</v>
      </c>
      <c r="S235" s="6">
        <f t="shared" si="75"/>
        <v>-5.2842089758070694</v>
      </c>
      <c r="T235" s="6">
        <f t="shared" si="76"/>
        <v>-5.2842089758070694</v>
      </c>
      <c r="U235" s="6">
        <f t="shared" si="77"/>
        <v>-8.2009622033395839</v>
      </c>
      <c r="V235" s="6">
        <f t="shared" si="78"/>
        <v>-8.2009622033395839</v>
      </c>
      <c r="W235" s="6">
        <f t="shared" si="79"/>
        <v>-1.1120753239000738</v>
      </c>
      <c r="X235" s="6">
        <f t="shared" si="80"/>
        <v>8.2760191267681282</v>
      </c>
      <c r="Y235" s="6">
        <f t="shared" si="81"/>
        <v>-0.89731850532572888</v>
      </c>
    </row>
    <row r="236" ht="14.25">
      <c r="A236">
        <v>-76</v>
      </c>
      <c r="B236">
        <f t="shared" si="63"/>
        <v>-22.800000000000001</v>
      </c>
      <c r="E236">
        <f t="shared" si="64"/>
        <v>-1.2083999999999999</v>
      </c>
      <c r="F236">
        <f t="shared" si="65"/>
        <v>-1.2083999999999999</v>
      </c>
      <c r="G236">
        <f t="shared" si="66"/>
        <v>1.3612913018498758</v>
      </c>
      <c r="H236">
        <f t="shared" si="67"/>
        <v>1.3612913018498758</v>
      </c>
      <c r="I236">
        <f t="shared" si="68"/>
        <v>-2.0453202829163208</v>
      </c>
      <c r="J236">
        <f t="shared" si="69"/>
        <v>2.456918612449551</v>
      </c>
      <c r="K236" s="5">
        <f t="shared" si="70"/>
        <v>0.17999999999999999</v>
      </c>
      <c r="N236" s="5">
        <f t="shared" si="71"/>
        <v>-136.80000000000001</v>
      </c>
      <c r="O236" s="5">
        <f t="shared" si="72"/>
        <v>-96.521141935945124</v>
      </c>
      <c r="P236" s="6">
        <f t="shared" si="73"/>
        <v>-102.784576466419</v>
      </c>
      <c r="Q236" s="6"/>
      <c r="R236" s="6">
        <f t="shared" si="74"/>
        <v>-3.8602400982306104</v>
      </c>
      <c r="S236" s="6">
        <f t="shared" si="75"/>
        <v>-5.4475825527202071</v>
      </c>
      <c r="T236" s="6">
        <f t="shared" si="76"/>
        <v>-5.4475825527202071</v>
      </c>
      <c r="U236" s="6">
        <f t="shared" si="77"/>
        <v>-8.1613649390160923</v>
      </c>
      <c r="V236" s="6">
        <f t="shared" si="78"/>
        <v>-8.1613649390160923</v>
      </c>
      <c r="W236" s="6">
        <f t="shared" si="79"/>
        <v>-1.4085574818983284</v>
      </c>
      <c r="X236" s="6">
        <f t="shared" si="80"/>
        <v>8.2820234150606513</v>
      </c>
      <c r="Y236" s="6">
        <f t="shared" si="81"/>
        <v>-0.86869027742350613</v>
      </c>
    </row>
    <row r="237" ht="14.25">
      <c r="A237">
        <v>-77</v>
      </c>
      <c r="B237">
        <f t="shared" si="63"/>
        <v>-23.100000000000001</v>
      </c>
      <c r="E237">
        <f t="shared" si="64"/>
        <v>-1.2242999999999999</v>
      </c>
      <c r="F237">
        <f t="shared" si="65"/>
        <v>-1.2242999999999999</v>
      </c>
      <c r="G237">
        <f t="shared" si="66"/>
        <v>1.3487374976061308</v>
      </c>
      <c r="H237">
        <f t="shared" si="67"/>
        <v>1.3487374976061308</v>
      </c>
      <c r="I237">
        <f t="shared" si="68"/>
        <v>-2.0612202829163211</v>
      </c>
      <c r="J237">
        <f t="shared" si="69"/>
        <v>2.463274627838822</v>
      </c>
      <c r="K237" s="5">
        <f t="shared" si="70"/>
        <v>0.17999999999999999</v>
      </c>
      <c r="N237" s="5">
        <f t="shared" si="71"/>
        <v>-138.59999999999999</v>
      </c>
      <c r="O237" s="5">
        <f t="shared" si="72"/>
        <v>-93.244973010634908</v>
      </c>
      <c r="P237" s="6">
        <f t="shared" si="73"/>
        <v>-105.76566081789478</v>
      </c>
      <c r="Q237" s="6"/>
      <c r="R237" s="6">
        <f t="shared" si="74"/>
        <v>-3.686603145189169</v>
      </c>
      <c r="S237" s="6">
        <f t="shared" si="75"/>
        <v>-5.6055800233484234</v>
      </c>
      <c r="T237" s="6">
        <f t="shared" si="76"/>
        <v>-5.6055800233484234</v>
      </c>
      <c r="U237" s="6">
        <f t="shared" si="77"/>
        <v>-8.112474483916376</v>
      </c>
      <c r="V237" s="6">
        <f t="shared" si="78"/>
        <v>-8.112474483916376</v>
      </c>
      <c r="W237" s="6">
        <f t="shared" si="79"/>
        <v>-1.7036495637191598</v>
      </c>
      <c r="X237" s="6">
        <f t="shared" si="80"/>
        <v>8.2894308663595684</v>
      </c>
      <c r="Y237" s="6">
        <f t="shared" si="81"/>
        <v>-0.83920475709571418</v>
      </c>
    </row>
    <row r="238" ht="14.25">
      <c r="A238">
        <v>-78</v>
      </c>
      <c r="B238">
        <f t="shared" si="63"/>
        <v>-23.399999999999999</v>
      </c>
      <c r="E238">
        <f t="shared" si="64"/>
        <v>-1.2402</v>
      </c>
      <c r="F238">
        <f t="shared" si="65"/>
        <v>-1.2402</v>
      </c>
      <c r="G238">
        <f t="shared" si="66"/>
        <v>1.3361836933623863</v>
      </c>
      <c r="H238">
        <f t="shared" si="67"/>
        <v>1.3361836933623863</v>
      </c>
      <c r="I238">
        <f t="shared" si="68"/>
        <v>-2.0771202829163209</v>
      </c>
      <c r="J238">
        <f t="shared" si="69"/>
        <v>2.4697804623305943</v>
      </c>
      <c r="K238" s="5">
        <f t="shared" si="70"/>
        <v>0.17999999999999999</v>
      </c>
      <c r="N238" s="5">
        <f t="shared" si="71"/>
        <v>-140.40000000000001</v>
      </c>
      <c r="O238" s="5">
        <f t="shared" si="72"/>
        <v>-89.876782554565267</v>
      </c>
      <c r="P238" s="6">
        <f t="shared" si="73"/>
        <v>-108.64236723138627</v>
      </c>
      <c r="Q238" s="6"/>
      <c r="R238" s="6">
        <f t="shared" si="74"/>
        <v>-3.5080890510174783</v>
      </c>
      <c r="S238" s="6">
        <f t="shared" si="75"/>
        <v>-5.7580454632634721</v>
      </c>
      <c r="T238" s="6">
        <f t="shared" si="76"/>
        <v>-5.7580454632634721</v>
      </c>
      <c r="U238" s="6">
        <f t="shared" si="77"/>
        <v>-8.0543390870170093</v>
      </c>
      <c r="V238" s="6">
        <f t="shared" si="78"/>
        <v>-8.0543390870170093</v>
      </c>
      <c r="W238" s="6">
        <f t="shared" si="79"/>
        <v>-1.997060349104701</v>
      </c>
      <c r="X238" s="6">
        <f t="shared" si="80"/>
        <v>8.2982304238082101</v>
      </c>
      <c r="Y238" s="6">
        <f t="shared" si="81"/>
        <v>-0.80889104299108738</v>
      </c>
    </row>
    <row r="239" ht="14.25">
      <c r="A239">
        <v>-79</v>
      </c>
      <c r="B239">
        <f t="shared" si="63"/>
        <v>-23.699999999999999</v>
      </c>
      <c r="E239">
        <f t="shared" si="64"/>
        <v>-1.2561</v>
      </c>
      <c r="F239">
        <f t="shared" si="65"/>
        <v>-1.2561</v>
      </c>
      <c r="G239">
        <f t="shared" si="66"/>
        <v>1.3236298891186413</v>
      </c>
      <c r="H239">
        <f t="shared" si="67"/>
        <v>1.3236298891186413</v>
      </c>
      <c r="I239">
        <f t="shared" si="68"/>
        <v>-2.0930202829163207</v>
      </c>
      <c r="J239">
        <f t="shared" si="69"/>
        <v>2.4764349351572599</v>
      </c>
      <c r="K239" s="5">
        <f t="shared" si="70"/>
        <v>0.17999999999999999</v>
      </c>
      <c r="N239" s="5">
        <f t="shared" si="71"/>
        <v>-142.19999999999999</v>
      </c>
      <c r="O239" s="5">
        <f t="shared" si="72"/>
        <v>-86.419894565069725</v>
      </c>
      <c r="P239" s="6">
        <f t="shared" si="73"/>
        <v>-111.41185674497231</v>
      </c>
      <c r="Q239" s="6"/>
      <c r="R239" s="6">
        <f t="shared" si="74"/>
        <v>-3.3248739875742146</v>
      </c>
      <c r="S239" s="6">
        <f t="shared" si="75"/>
        <v>-5.9048284074835324</v>
      </c>
      <c r="T239" s="6">
        <f t="shared" si="76"/>
        <v>-5.9048284074835324</v>
      </c>
      <c r="U239" s="6">
        <f t="shared" si="77"/>
        <v>-7.9870161209359569</v>
      </c>
      <c r="V239" s="6">
        <f t="shared" si="78"/>
        <v>-7.9870161209359569</v>
      </c>
      <c r="W239" s="6">
        <f t="shared" si="79"/>
        <v>-2.2885002770336937</v>
      </c>
      <c r="X239" s="6">
        <f t="shared" si="80"/>
        <v>8.3084089953536928</v>
      </c>
      <c r="Y239" s="6">
        <f t="shared" si="81"/>
        <v>-0.7777790510856275</v>
      </c>
    </row>
    <row r="240" ht="14.25">
      <c r="A240">
        <v>-80</v>
      </c>
      <c r="B240">
        <f t="shared" si="63"/>
        <v>-24</v>
      </c>
      <c r="E240">
        <f t="shared" si="64"/>
        <v>-1.272</v>
      </c>
      <c r="F240">
        <f t="shared" si="65"/>
        <v>-1.272</v>
      </c>
      <c r="G240">
        <f t="shared" si="66"/>
        <v>1.3110760848748964</v>
      </c>
      <c r="H240">
        <f t="shared" si="67"/>
        <v>1.3110760848748964</v>
      </c>
      <c r="I240">
        <f t="shared" si="68"/>
        <v>-2.1089202829163209</v>
      </c>
      <c r="J240">
        <f t="shared" si="69"/>
        <v>2.4832368513749836</v>
      </c>
      <c r="K240" s="5">
        <f t="shared" si="70"/>
        <v>0.17999999999999999</v>
      </c>
      <c r="N240" s="5">
        <f t="shared" si="71"/>
        <v>-144</v>
      </c>
      <c r="O240" s="5">
        <f t="shared" si="72"/>
        <v>-82.877720573238733</v>
      </c>
      <c r="P240" s="6">
        <f t="shared" si="73"/>
        <v>-114.07139620686758</v>
      </c>
      <c r="Q240" s="6"/>
      <c r="R240" s="6">
        <f t="shared" si="74"/>
        <v>-3.1371387660071717</v>
      </c>
      <c r="S240" s="6">
        <f t="shared" si="75"/>
        <v>-6.045783998963981</v>
      </c>
      <c r="T240" s="6">
        <f t="shared" si="76"/>
        <v>-6.045783998963981</v>
      </c>
      <c r="U240" s="6">
        <f t="shared" si="77"/>
        <v>-7.9105720253127387</v>
      </c>
      <c r="V240" s="6">
        <f t="shared" si="78"/>
        <v>-7.9105720253127387</v>
      </c>
      <c r="W240" s="6">
        <f t="shared" si="79"/>
        <v>-2.5776817314832439</v>
      </c>
      <c r="X240" s="6">
        <f t="shared" si="80"/>
        <v>8.3199514948395557</v>
      </c>
      <c r="Y240" s="6">
        <f t="shared" si="81"/>
        <v>-0.74589948515914861</v>
      </c>
    </row>
    <row r="241" ht="14.25">
      <c r="A241">
        <v>-81</v>
      </c>
      <c r="B241">
        <f t="shared" si="63"/>
        <v>-24.300000000000001</v>
      </c>
      <c r="E241">
        <f t="shared" si="64"/>
        <v>-1.2879</v>
      </c>
      <c r="F241">
        <f t="shared" si="65"/>
        <v>-1.2879</v>
      </c>
      <c r="G241">
        <f t="shared" si="66"/>
        <v>1.2985222806311516</v>
      </c>
      <c r="H241">
        <f t="shared" si="67"/>
        <v>1.2985222806311516</v>
      </c>
      <c r="I241">
        <f t="shared" si="68"/>
        <v>-2.1248202829163212</v>
      </c>
      <c r="J241">
        <f t="shared" si="69"/>
        <v>2.4901850027634738</v>
      </c>
      <c r="K241" s="5">
        <f t="shared" si="70"/>
        <v>0.17999999999999999</v>
      </c>
      <c r="N241" s="5">
        <f t="shared" si="71"/>
        <v>-145.80000000000001</v>
      </c>
      <c r="O241" s="5">
        <f t="shared" si="72"/>
        <v>-79.253756277150401</v>
      </c>
      <c r="P241" s="6">
        <f t="shared" si="73"/>
        <v>-116.61836097271323</v>
      </c>
      <c r="Q241" s="6"/>
      <c r="R241" s="6">
        <f t="shared" si="74"/>
        <v>-2.9450686583144901</v>
      </c>
      <c r="S241" s="6">
        <f t="shared" si="75"/>
        <v>-6.180773131553801</v>
      </c>
      <c r="T241" s="6">
        <f t="shared" si="76"/>
        <v>-6.180773131553801</v>
      </c>
      <c r="U241" s="6">
        <f t="shared" si="77"/>
        <v>-7.8250822412405299</v>
      </c>
      <c r="V241" s="6">
        <f t="shared" si="78"/>
        <v>-7.8250822412405299</v>
      </c>
      <c r="W241" s="6">
        <f t="shared" si="79"/>
        <v>-2.8643193252711083</v>
      </c>
      <c r="X241" s="6">
        <f t="shared" si="80"/>
        <v>8.3328408888745411</v>
      </c>
      <c r="Y241" s="6">
        <f t="shared" si="81"/>
        <v>-0.71328380649435363</v>
      </c>
    </row>
    <row r="242" ht="14.25">
      <c r="A242">
        <v>-82</v>
      </c>
      <c r="B242">
        <f t="shared" si="63"/>
        <v>-24.600000000000001</v>
      </c>
      <c r="E242">
        <f t="shared" si="64"/>
        <v>-1.3038000000000001</v>
      </c>
      <c r="F242">
        <f t="shared" si="65"/>
        <v>-1.3038000000000001</v>
      </c>
      <c r="G242">
        <f t="shared" si="66"/>
        <v>1.2859684763874069</v>
      </c>
      <c r="H242">
        <f t="shared" si="67"/>
        <v>1.2859684763874069</v>
      </c>
      <c r="I242">
        <f t="shared" si="68"/>
        <v>-2.140720282916321</v>
      </c>
      <c r="J242">
        <f t="shared" si="69"/>
        <v>2.4972781687171897</v>
      </c>
      <c r="K242" s="5">
        <f t="shared" si="70"/>
        <v>0.17999999999999999</v>
      </c>
      <c r="N242" s="5">
        <f t="shared" si="71"/>
        <v>-147.59999999999999</v>
      </c>
      <c r="O242" s="5">
        <f t="shared" si="72"/>
        <v>-75.551578092038582</v>
      </c>
      <c r="P242" s="6">
        <f t="shared" si="73"/>
        <v>-119.05023749578409</v>
      </c>
      <c r="Q242" s="6"/>
      <c r="R242" s="6">
        <f t="shared" si="74"/>
        <v>-2.7488532145035638</v>
      </c>
      <c r="S242" s="6">
        <f t="shared" si="75"/>
        <v>-6.3096625872765566</v>
      </c>
      <c r="T242" s="6">
        <f t="shared" si="76"/>
        <v>-6.3096625872765566</v>
      </c>
      <c r="U242" s="6">
        <f t="shared" si="77"/>
        <v>-7.7306311368149041</v>
      </c>
      <c r="V242" s="6">
        <f t="shared" si="78"/>
        <v>-7.7306311368149041</v>
      </c>
      <c r="W242" s="6">
        <f t="shared" si="79"/>
        <v>-3.1481301816983844</v>
      </c>
      <c r="X242" s="6">
        <f t="shared" si="80"/>
        <v>8.3470582491325889</v>
      </c>
      <c r="Y242" s="6">
        <f t="shared" si="81"/>
        <v>-0.67996420282834724</v>
      </c>
    </row>
    <row r="243" ht="14.25">
      <c r="A243">
        <v>-83</v>
      </c>
      <c r="B243">
        <f t="shared" si="63"/>
        <v>-24.899999999999999</v>
      </c>
      <c r="E243">
        <f t="shared" si="64"/>
        <v>-1.3196999999999999</v>
      </c>
      <c r="F243">
        <f t="shared" si="65"/>
        <v>-1.3196999999999999</v>
      </c>
      <c r="G243">
        <f t="shared" si="66"/>
        <v>1.2734146721436621</v>
      </c>
      <c r="H243">
        <f t="shared" si="67"/>
        <v>1.2734146721436621</v>
      </c>
      <c r="I243">
        <f t="shared" si="68"/>
        <v>-2.1566202829163208</v>
      </c>
      <c r="J243">
        <f t="shared" si="69"/>
        <v>2.5045151171268305</v>
      </c>
      <c r="K243" s="5">
        <f t="shared" si="70"/>
        <v>0.17999999999999999</v>
      </c>
      <c r="N243" s="5">
        <f t="shared" si="71"/>
        <v>-149.40000000000001</v>
      </c>
      <c r="O243" s="5">
        <f t="shared" si="72"/>
        <v>-71.774839620802325</v>
      </c>
      <c r="P243" s="6">
        <f t="shared" si="73"/>
        <v>-121.36462580755607</v>
      </c>
      <c r="Q243" s="6"/>
      <c r="R243" s="6">
        <f t="shared" si="74"/>
        <v>-2.5486860755280416</v>
      </c>
      <c r="S243" s="6">
        <f t="shared" si="75"/>
        <v>-6.4323251678004709</v>
      </c>
      <c r="T243" s="6">
        <f t="shared" si="76"/>
        <v>-6.4323251678004709</v>
      </c>
      <c r="U243" s="6">
        <f t="shared" si="77"/>
        <v>-7.6273119238727034</v>
      </c>
      <c r="V243" s="6">
        <f t="shared" si="78"/>
        <v>-7.6273119238727034</v>
      </c>
      <c r="W243" s="6">
        <f t="shared" si="79"/>
        <v>-3.428834213714699</v>
      </c>
      <c r="X243" s="6">
        <f t="shared" si="80"/>
        <v>8.3625828097060548</v>
      </c>
      <c r="Y243" s="6">
        <f t="shared" si="81"/>
        <v>-0.64597355658722089</v>
      </c>
    </row>
    <row r="244" ht="14.25">
      <c r="A244">
        <v>-84</v>
      </c>
      <c r="B244">
        <f t="shared" si="63"/>
        <v>-25.199999999999999</v>
      </c>
      <c r="E244">
        <f t="shared" si="64"/>
        <v>-1.3355999999999999</v>
      </c>
      <c r="F244">
        <f t="shared" si="65"/>
        <v>-1.3355999999999999</v>
      </c>
      <c r="G244">
        <f t="shared" si="66"/>
        <v>1.2608608678999171</v>
      </c>
      <c r="H244">
        <f t="shared" si="67"/>
        <v>1.2608608678999171</v>
      </c>
      <c r="I244">
        <f t="shared" si="68"/>
        <v>-2.172520282916321</v>
      </c>
      <c r="J244">
        <f t="shared" si="69"/>
        <v>2.511894605250018</v>
      </c>
      <c r="K244" s="5">
        <f t="shared" si="70"/>
        <v>0.17999999999999999</v>
      </c>
      <c r="N244" s="5">
        <f t="shared" si="71"/>
        <v>-151.19999999999999</v>
      </c>
      <c r="O244" s="5">
        <f t="shared" si="72"/>
        <v>-67.927268048341901</v>
      </c>
      <c r="P244" s="6">
        <f t="shared" si="73"/>
        <v>-123.55924188618475</v>
      </c>
      <c r="Q244" s="6"/>
      <c r="R244" s="6">
        <f t="shared" si="74"/>
        <v>-2.3447647821876396</v>
      </c>
      <c r="S244" s="6">
        <f t="shared" si="75"/>
        <v>-6.548639819967792</v>
      </c>
      <c r="T244" s="6">
        <f t="shared" si="76"/>
        <v>-6.548639819967792</v>
      </c>
      <c r="U244" s="6">
        <f t="shared" si="77"/>
        <v>-7.5152265660032329</v>
      </c>
      <c r="V244" s="6">
        <f t="shared" si="78"/>
        <v>-7.5152265660032329</v>
      </c>
      <c r="W244" s="6">
        <f t="shared" si="79"/>
        <v>-3.7061544003302385</v>
      </c>
      <c r="X244" s="6">
        <f t="shared" si="80"/>
        <v>8.3793920291061657</v>
      </c>
      <c r="Y244" s="6">
        <f t="shared" si="81"/>
        <v>-0.61134541243507712</v>
      </c>
    </row>
    <row r="245" ht="14.25">
      <c r="A245">
        <v>-85</v>
      </c>
      <c r="B245">
        <f t="shared" si="63"/>
        <v>-25.5</v>
      </c>
      <c r="E245">
        <f t="shared" si="64"/>
        <v>-1.3514999999999999</v>
      </c>
      <c r="F245">
        <f t="shared" si="65"/>
        <v>-1.3514999999999999</v>
      </c>
      <c r="G245">
        <f t="shared" si="66"/>
        <v>1.2483070636561724</v>
      </c>
      <c r="H245">
        <f t="shared" si="67"/>
        <v>1.2483070636561724</v>
      </c>
      <c r="I245">
        <f t="shared" si="68"/>
        <v>-2.1884202829163208</v>
      </c>
      <c r="J245">
        <f t="shared" si="69"/>
        <v>2.5194153805701522</v>
      </c>
      <c r="K245" s="5">
        <f t="shared" si="70"/>
        <v>0.17999999999999999</v>
      </c>
      <c r="N245" s="5">
        <f t="shared" si="71"/>
        <v>-153</v>
      </c>
      <c r="O245" s="5">
        <f t="shared" si="72"/>
        <v>-64.012660463276106</v>
      </c>
      <c r="P245" s="6">
        <f t="shared" si="73"/>
        <v>-125.63191991055986</v>
      </c>
      <c r="Q245" s="6"/>
      <c r="R245" s="6">
        <f t="shared" si="74"/>
        <v>-2.137290580179152</v>
      </c>
      <c r="S245" s="6">
        <f t="shared" si="75"/>
        <v>-6.6584917552596723</v>
      </c>
      <c r="T245" s="6">
        <f t="shared" si="76"/>
        <v>-6.6584917552596723</v>
      </c>
      <c r="U245" s="6">
        <f t="shared" si="77"/>
        <v>-7.3944856779224679</v>
      </c>
      <c r="V245" s="6">
        <f t="shared" si="78"/>
        <v>-7.3944856779224679</v>
      </c>
      <c r="W245" s="6">
        <f t="shared" si="79"/>
        <v>-3.9798170600021012</v>
      </c>
      <c r="X245" s="6">
        <f t="shared" si="80"/>
        <v>8.3974616564819318</v>
      </c>
      <c r="Y245" s="6">
        <f t="shared" si="81"/>
        <v>-0.57611394416948503</v>
      </c>
    </row>
    <row r="246" ht="14.25">
      <c r="A246">
        <v>-86</v>
      </c>
      <c r="B246">
        <f t="shared" si="63"/>
        <v>-25.800000000000001</v>
      </c>
      <c r="E246">
        <f t="shared" si="64"/>
        <v>-1.3673999999999999</v>
      </c>
      <c r="F246">
        <f t="shared" si="65"/>
        <v>-1.3673999999999999</v>
      </c>
      <c r="G246">
        <f t="shared" si="66"/>
        <v>1.2357532594124276</v>
      </c>
      <c r="H246">
        <f t="shared" si="67"/>
        <v>1.2357532594124276</v>
      </c>
      <c r="I246">
        <f t="shared" si="68"/>
        <v>-2.2043202829163207</v>
      </c>
      <c r="J246">
        <f t="shared" si="69"/>
        <v>2.527076181642478</v>
      </c>
      <c r="K246" s="5">
        <f t="shared" si="70"/>
        <v>0.17999999999999999</v>
      </c>
      <c r="N246" s="5">
        <f t="shared" si="71"/>
        <v>-154.80000000000001</v>
      </c>
      <c r="O246" s="5">
        <f t="shared" si="72"/>
        <v>-60.034880110675225</v>
      </c>
      <c r="P246" s="6">
        <f t="shared" si="73"/>
        <v>-127.58061439770876</v>
      </c>
      <c r="Q246" s="6"/>
      <c r="R246" s="6">
        <f t="shared" si="74"/>
        <v>-1.9264682214913054</v>
      </c>
      <c r="S246" s="6">
        <f t="shared" si="75"/>
        <v>-6.7617725630785639</v>
      </c>
      <c r="T246" s="6">
        <f t="shared" si="76"/>
        <v>-6.7617725630785639</v>
      </c>
      <c r="U246" s="6">
        <f t="shared" si="77"/>
        <v>-7.2652084163097284</v>
      </c>
      <c r="V246" s="6">
        <f t="shared" si="78"/>
        <v>-7.2652084163097284</v>
      </c>
      <c r="W246" s="6">
        <f t="shared" si="79"/>
        <v>-4.2495521207248785</v>
      </c>
      <c r="X246" s="6">
        <f t="shared" si="80"/>
        <v>8.4167658016113904</v>
      </c>
      <c r="Y246" s="6">
        <f t="shared" si="81"/>
        <v>-0.540313920996077</v>
      </c>
    </row>
    <row r="247" ht="14.25">
      <c r="A247">
        <v>-87</v>
      </c>
      <c r="B247">
        <f t="shared" si="63"/>
        <v>-26.100000000000001</v>
      </c>
      <c r="E247">
        <f t="shared" si="64"/>
        <v>-1.3833</v>
      </c>
      <c r="F247">
        <f t="shared" si="65"/>
        <v>-1.3833</v>
      </c>
      <c r="G247">
        <f t="shared" si="66"/>
        <v>1.2231994551686827</v>
      </c>
      <c r="H247">
        <f t="shared" si="67"/>
        <v>1.2231994551686827</v>
      </c>
      <c r="I247">
        <f t="shared" si="68"/>
        <v>-2.2202202829163209</v>
      </c>
      <c r="J247">
        <f t="shared" si="69"/>
        <v>2.5348757389264649</v>
      </c>
      <c r="K247" s="5">
        <f t="shared" si="70"/>
        <v>0.17999999999999999</v>
      </c>
      <c r="N247" s="5">
        <f t="shared" si="71"/>
        <v>-156.59999999999999</v>
      </c>
      <c r="O247" s="5">
        <f t="shared" si="72"/>
        <v>-55.99785257950407</v>
      </c>
      <c r="P247" s="6">
        <f t="shared" si="73"/>
        <v>-129.40340222144135</v>
      </c>
      <c r="Q247" s="6"/>
      <c r="R247" s="6">
        <f t="shared" si="74"/>
        <v>-1.7125057623392343</v>
      </c>
      <c r="S247" s="6">
        <f t="shared" si="75"/>
        <v>-6.8583803177363913</v>
      </c>
      <c r="T247" s="6">
        <f t="shared" si="76"/>
        <v>-6.8583803177363913</v>
      </c>
      <c r="U247" s="6">
        <f t="shared" si="77"/>
        <v>-7.1275223622143926</v>
      </c>
      <c r="V247" s="6">
        <f t="shared" si="78"/>
        <v>-7.1275223622143926</v>
      </c>
      <c r="W247" s="6">
        <f t="shared" si="79"/>
        <v>-4.5150933865591423</v>
      </c>
      <c r="X247" s="6">
        <f t="shared" si="80"/>
        <v>8.4372770082068733</v>
      </c>
      <c r="Y247" s="6">
        <f t="shared" si="81"/>
        <v>-0.50398067321553663</v>
      </c>
    </row>
    <row r="248" ht="14.25">
      <c r="A248">
        <v>-88</v>
      </c>
      <c r="B248">
        <f t="shared" si="63"/>
        <v>-26.399999999999999</v>
      </c>
      <c r="E248">
        <f t="shared" si="64"/>
        <v>-1.3991999999999998</v>
      </c>
      <c r="F248">
        <f t="shared" si="65"/>
        <v>-1.3991999999999998</v>
      </c>
      <c r="G248">
        <f t="shared" si="66"/>
        <v>1.2106456509249381</v>
      </c>
      <c r="H248">
        <f t="shared" si="67"/>
        <v>1.2106456509249381</v>
      </c>
      <c r="I248">
        <f t="shared" si="68"/>
        <v>-2.2361202829163207</v>
      </c>
      <c r="J248">
        <f t="shared" si="69"/>
        <v>2.5428127756036685</v>
      </c>
      <c r="K248" s="5">
        <f t="shared" si="70"/>
        <v>0.17999999999999999</v>
      </c>
      <c r="N248" s="5">
        <f t="shared" si="71"/>
        <v>-158.40000000000001</v>
      </c>
      <c r="O248" s="5">
        <f t="shared" si="72"/>
        <v>-51.905561928539619</v>
      </c>
      <c r="P248" s="6">
        <f t="shared" si="73"/>
        <v>-131.09848451024345</v>
      </c>
      <c r="Q248" s="6"/>
      <c r="R248" s="6">
        <f t="shared" si="74"/>
        <v>-1.4956143578381182</v>
      </c>
      <c r="S248" s="6">
        <f t="shared" si="75"/>
        <v>-6.9482196790429027</v>
      </c>
      <c r="T248" s="6">
        <f t="shared" si="76"/>
        <v>-6.9482196790429027</v>
      </c>
      <c r="U248" s="6">
        <f t="shared" si="77"/>
        <v>-6.9815633951488119</v>
      </c>
      <c r="V248" s="6">
        <f t="shared" si="78"/>
        <v>-6.9815633951488119</v>
      </c>
      <c r="W248" s="6">
        <f t="shared" si="79"/>
        <v>-4.7761788003347032</v>
      </c>
      <c r="X248" s="6">
        <f t="shared" si="80"/>
        <v>8.4589663300694404</v>
      </c>
      <c r="Y248" s="6">
        <f t="shared" si="81"/>
        <v>-0.46715005735685661</v>
      </c>
    </row>
    <row r="249" ht="14.25">
      <c r="A249">
        <v>-89</v>
      </c>
      <c r="B249">
        <f t="shared" si="63"/>
        <v>-26.699999999999999</v>
      </c>
      <c r="E249">
        <f t="shared" si="64"/>
        <v>-1.4151</v>
      </c>
      <c r="F249">
        <f t="shared" si="65"/>
        <v>-1.4151</v>
      </c>
      <c r="G249">
        <f t="shared" si="66"/>
        <v>1.1980918466811932</v>
      </c>
      <c r="H249">
        <f t="shared" si="67"/>
        <v>1.1980918466811932</v>
      </c>
      <c r="I249">
        <f t="shared" si="68"/>
        <v>-2.2520202829163209</v>
      </c>
      <c r="J249">
        <f t="shared" si="69"/>
        <v>2.5508860083803153</v>
      </c>
      <c r="K249" s="5">
        <f t="shared" si="70"/>
        <v>0.17999999999999999</v>
      </c>
      <c r="N249" s="5">
        <f t="shared" si="71"/>
        <v>-160.19999999999999</v>
      </c>
      <c r="O249" s="5">
        <f t="shared" si="72"/>
        <v>-47.762046754586137</v>
      </c>
      <c r="P249" s="6">
        <f t="shared" si="73"/>
        <v>-132.66418842254578</v>
      </c>
      <c r="Q249" s="6"/>
      <c r="R249" s="6">
        <f t="shared" si="74"/>
        <v>-1.276008053618584</v>
      </c>
      <c r="S249" s="6">
        <f t="shared" si="75"/>
        <v>-7.031201986394926</v>
      </c>
      <c r="T249" s="6">
        <f t="shared" si="76"/>
        <v>-7.031201986394926</v>
      </c>
      <c r="U249" s="6">
        <f t="shared" si="77"/>
        <v>-6.8274755589916403</v>
      </c>
      <c r="V249" s="6">
        <f t="shared" si="78"/>
        <v>-6.8274755589916403</v>
      </c>
      <c r="W249" s="6">
        <f t="shared" si="79"/>
        <v>-5.0325507022693872</v>
      </c>
      <c r="X249" s="6">
        <f t="shared" si="80"/>
        <v>8.4818034096258277</v>
      </c>
      <c r="Y249" s="6">
        <f t="shared" si="81"/>
        <v>-0.42985842079127523</v>
      </c>
    </row>
    <row r="250" ht="14.25">
      <c r="A250">
        <v>-90</v>
      </c>
      <c r="B250">
        <f t="shared" si="63"/>
        <v>-27</v>
      </c>
      <c r="E250">
        <f t="shared" si="64"/>
        <v>-1.431</v>
      </c>
      <c r="F250">
        <f t="shared" si="65"/>
        <v>-1.431</v>
      </c>
      <c r="G250">
        <f t="shared" si="66"/>
        <v>1.1855380424374484</v>
      </c>
      <c r="H250">
        <f t="shared" si="67"/>
        <v>1.1855380424374484</v>
      </c>
      <c r="I250">
        <f t="shared" si="68"/>
        <v>-2.2679202829163208</v>
      </c>
      <c r="J250">
        <f t="shared" si="69"/>
        <v>2.5590941482738891</v>
      </c>
      <c r="K250" s="5">
        <f t="shared" si="70"/>
        <v>0.17999999999999999</v>
      </c>
      <c r="N250" s="5">
        <f t="shared" si="71"/>
        <v>-162</v>
      </c>
      <c r="O250" s="5">
        <f t="shared" si="72"/>
        <v>-43.571396206867597</v>
      </c>
      <c r="P250" s="6">
        <f t="shared" si="73"/>
        <v>-134.09896879761664</v>
      </c>
      <c r="Q250" s="6"/>
      <c r="R250" s="6">
        <f t="shared" si="74"/>
        <v>-1.0539035745895011</v>
      </c>
      <c r="S250" s="6">
        <f t="shared" si="75"/>
        <v>-7.1072453462736815</v>
      </c>
      <c r="T250" s="6">
        <f t="shared" si="76"/>
        <v>-7.1072453462736815</v>
      </c>
      <c r="U250" s="6">
        <f t="shared" si="77"/>
        <v>-6.6654109198339109</v>
      </c>
      <c r="V250" s="6">
        <f t="shared" si="78"/>
        <v>-6.6654109198339109</v>
      </c>
      <c r="W250" s="6">
        <f t="shared" si="79"/>
        <v>-5.2839560842481443</v>
      </c>
      <c r="X250" s="6">
        <f t="shared" si="80"/>
        <v>8.5057565583846877</v>
      </c>
      <c r="Y250" s="6">
        <f t="shared" si="81"/>
        <v>-0.3921425658618084</v>
      </c>
    </row>
    <row r="251" ht="14.25">
      <c r="A251">
        <v>-91</v>
      </c>
      <c r="B251">
        <f t="shared" si="63"/>
        <v>-27.300000000000001</v>
      </c>
      <c r="E251">
        <f t="shared" si="64"/>
        <v>-1.4469000000000001</v>
      </c>
      <c r="F251">
        <f t="shared" si="65"/>
        <v>-1.4469000000000001</v>
      </c>
      <c r="G251">
        <f t="shared" si="66"/>
        <v>1.1729842381937035</v>
      </c>
      <c r="H251">
        <f t="shared" si="67"/>
        <v>1.1729842381937035</v>
      </c>
      <c r="I251">
        <f t="shared" si="68"/>
        <v>-2.283820282916321</v>
      </c>
      <c r="J251">
        <f t="shared" si="69"/>
        <v>2.5674359013830994</v>
      </c>
      <c r="K251" s="5">
        <f t="shared" si="70"/>
        <v>0.17999999999999999</v>
      </c>
      <c r="N251" s="5">
        <f t="shared" si="71"/>
        <v>-163.80000000000001</v>
      </c>
      <c r="O251" s="5">
        <f t="shared" si="72"/>
        <v>-39.337745951531303</v>
      </c>
      <c r="P251" s="6">
        <f t="shared" si="73"/>
        <v>-135.40140968044898</v>
      </c>
      <c r="Q251" s="6"/>
      <c r="R251" s="6">
        <f t="shared" si="74"/>
        <v>-0.82952011105667789</v>
      </c>
      <c r="S251" s="6">
        <f t="shared" si="75"/>
        <v>-7.1762747130637958</v>
      </c>
      <c r="T251" s="6">
        <f t="shared" si="76"/>
        <v>-7.1762747130637958</v>
      </c>
      <c r="U251" s="6">
        <f t="shared" si="77"/>
        <v>-6.4955294159081793</v>
      </c>
      <c r="V251" s="6">
        <f t="shared" si="78"/>
        <v>-6.4955294159081793</v>
      </c>
      <c r="W251" s="6">
        <f t="shared" si="79"/>
        <v>-5.5301468395114988</v>
      </c>
      <c r="X251" s="6">
        <f t="shared" si="80"/>
        <v>8.530792838856625</v>
      </c>
      <c r="Y251" s="6">
        <f t="shared" si="81"/>
        <v>-0.35403971356378172</v>
      </c>
    </row>
    <row r="252" ht="14.25">
      <c r="A252">
        <v>-92</v>
      </c>
      <c r="B252">
        <f t="shared" si="63"/>
        <v>-27.600000000000001</v>
      </c>
      <c r="E252">
        <f t="shared" si="64"/>
        <v>-1.4628000000000001</v>
      </c>
      <c r="F252">
        <f t="shared" si="65"/>
        <v>-1.4628000000000001</v>
      </c>
      <c r="G252">
        <f t="shared" si="66"/>
        <v>1.1604304339499587</v>
      </c>
      <c r="H252">
        <f t="shared" si="67"/>
        <v>1.1604304339499587</v>
      </c>
      <c r="I252">
        <f t="shared" si="68"/>
        <v>-2.2997202829163212</v>
      </c>
      <c r="J252">
        <f t="shared" si="69"/>
        <v>2.5759099696406342</v>
      </c>
      <c r="K252" s="5">
        <f t="shared" si="70"/>
        <v>0.17999999999999999</v>
      </c>
      <c r="N252" s="5">
        <f t="shared" si="71"/>
        <v>-165.59999999999999</v>
      </c>
      <c r="O252" s="5">
        <f t="shared" si="72"/>
        <v>-35.065274090244586</v>
      </c>
      <c r="P252" s="6">
        <f t="shared" si="73"/>
        <v>-136.57022571913697</v>
      </c>
      <c r="Q252" s="6"/>
      <c r="R252" s="6">
        <f t="shared" si="74"/>
        <v>-0.60307910240848162</v>
      </c>
      <c r="S252" s="6">
        <f t="shared" si="75"/>
        <v>-7.2382219631142597</v>
      </c>
      <c r="T252" s="6">
        <f t="shared" si="76"/>
        <v>-7.2382219631142597</v>
      </c>
      <c r="U252" s="6">
        <f t="shared" si="77"/>
        <v>-6.3179986997487783</v>
      </c>
      <c r="V252" s="6">
        <f t="shared" si="78"/>
        <v>-6.3179986997487783</v>
      </c>
      <c r="W252" s="6">
        <f t="shared" si="79"/>
        <v>-5.7708800075069675</v>
      </c>
      <c r="X252" s="6">
        <f t="shared" si="80"/>
        <v>8.556878147494615</v>
      </c>
      <c r="Y252" s="6">
        <f t="shared" si="81"/>
        <v>-0.31558746681220129</v>
      </c>
    </row>
    <row r="253" ht="14.25">
      <c r="A253">
        <v>-93</v>
      </c>
      <c r="B253">
        <f t="shared" si="63"/>
        <v>-27.899999999999999</v>
      </c>
      <c r="E253">
        <f t="shared" si="64"/>
        <v>-1.4786999999999999</v>
      </c>
      <c r="F253">
        <f t="shared" si="65"/>
        <v>-1.4786999999999999</v>
      </c>
      <c r="G253">
        <f t="shared" si="66"/>
        <v>1.147876629706214</v>
      </c>
      <c r="H253">
        <f t="shared" si="67"/>
        <v>1.147876629706214</v>
      </c>
      <c r="I253">
        <f t="shared" si="68"/>
        <v>-2.3156202829163206</v>
      </c>
      <c r="J253">
        <f t="shared" si="69"/>
        <v>2.5845150515481929</v>
      </c>
      <c r="K253" s="5">
        <f t="shared" si="70"/>
        <v>0.17999999999999999</v>
      </c>
      <c r="N253" s="5">
        <f t="shared" si="71"/>
        <v>-167.40000000000001</v>
      </c>
      <c r="O253" s="5">
        <f t="shared" si="72"/>
        <v>-30.758197036912467</v>
      </c>
      <c r="P253" s="6">
        <f t="shared" si="73"/>
        <v>-137.6042634333634</v>
      </c>
      <c r="Q253" s="6"/>
      <c r="R253" s="6">
        <f t="shared" si="74"/>
        <v>-0.37480401858187951</v>
      </c>
      <c r="S253" s="6">
        <f t="shared" si="75"/>
        <v>-7.2930259619682598</v>
      </c>
      <c r="T253" s="6">
        <f t="shared" si="76"/>
        <v>-7.2930259619682598</v>
      </c>
      <c r="U253" s="6">
        <f t="shared" si="77"/>
        <v>-6.1329939727390022</v>
      </c>
      <c r="V253" s="6">
        <f t="shared" si="78"/>
        <v>-6.1329939727390022</v>
      </c>
      <c r="W253" s="6">
        <f t="shared" si="79"/>
        <v>-6.005918013661824</v>
      </c>
      <c r="X253" s="6">
        <f t="shared" si="80"/>
        <v>8.583977298227234</v>
      </c>
      <c r="Y253" s="6">
        <f t="shared" si="81"/>
        <v>-0.2768237733322122</v>
      </c>
    </row>
    <row r="254" ht="14.25">
      <c r="A254">
        <v>-94</v>
      </c>
      <c r="B254">
        <f t="shared" si="63"/>
        <v>-28.199999999999999</v>
      </c>
      <c r="E254">
        <f t="shared" si="64"/>
        <v>-1.4945999999999999</v>
      </c>
      <c r="F254">
        <f t="shared" si="65"/>
        <v>-1.4945999999999999</v>
      </c>
      <c r="G254">
        <f t="shared" si="66"/>
        <v>1.1353228254624692</v>
      </c>
      <c r="H254">
        <f t="shared" si="67"/>
        <v>1.1353228254624692</v>
      </c>
      <c r="I254">
        <f t="shared" si="68"/>
        <v>-2.3315202829163209</v>
      </c>
      <c r="J254">
        <f t="shared" si="69"/>
        <v>2.5932498428933308</v>
      </c>
      <c r="K254" s="5">
        <f t="shared" si="70"/>
        <v>0.17999999999999999</v>
      </c>
      <c r="N254" s="5">
        <f t="shared" si="71"/>
        <v>-169.19999999999999</v>
      </c>
      <c r="O254" s="5">
        <f t="shared" si="72"/>
        <v>-26.420765356587228</v>
      </c>
      <c r="P254" s="6">
        <f t="shared" si="73"/>
        <v>-138.5025023527451</v>
      </c>
      <c r="Q254" s="6"/>
      <c r="R254" s="6">
        <f t="shared" si="74"/>
        <v>-0.14492013952464178</v>
      </c>
      <c r="S254" s="6">
        <f t="shared" si="75"/>
        <v>-7.3406326246954903</v>
      </c>
      <c r="T254" s="6">
        <f t="shared" si="76"/>
        <v>-7.3406326246954903</v>
      </c>
      <c r="U254" s="6">
        <f t="shared" si="77"/>
        <v>-5.9406978122085325</v>
      </c>
      <c r="V254" s="6">
        <f t="shared" si="78"/>
        <v>-5.9406978122085325</v>
      </c>
      <c r="W254" s="6">
        <f t="shared" si="79"/>
        <v>-6.2350289038404547</v>
      </c>
      <c r="X254" s="6">
        <f t="shared" si="80"/>
        <v>8.6120541061761298</v>
      </c>
      <c r="Y254" s="6">
        <f t="shared" si="81"/>
        <v>-0.23778688820928506</v>
      </c>
    </row>
    <row r="255" ht="14.25">
      <c r="A255">
        <v>-95</v>
      </c>
      <c r="B255">
        <f t="shared" si="63"/>
        <v>-28.5</v>
      </c>
      <c r="E255">
        <f t="shared" si="64"/>
        <v>-1.5105</v>
      </c>
      <c r="F255">
        <f t="shared" si="65"/>
        <v>-1.5105</v>
      </c>
      <c r="G255">
        <f t="shared" si="66"/>
        <v>1.1227690212187242</v>
      </c>
      <c r="H255">
        <f t="shared" si="67"/>
        <v>1.1227690212187242</v>
      </c>
      <c r="I255">
        <f t="shared" si="68"/>
        <v>-2.3474202829163211</v>
      </c>
      <c r="J255">
        <f t="shared" si="69"/>
        <v>2.6021130374477188</v>
      </c>
      <c r="K255" s="5">
        <f t="shared" si="70"/>
        <v>0.17999999999999999</v>
      </c>
      <c r="N255" s="5">
        <f t="shared" si="71"/>
        <v>-171</v>
      </c>
      <c r="O255" s="5">
        <f t="shared" si="72"/>
        <v>-22.057259570672567</v>
      </c>
      <c r="P255" s="6">
        <f t="shared" si="73"/>
        <v>-139.26405602391441</v>
      </c>
      <c r="Q255" s="6"/>
      <c r="R255" s="6">
        <f t="shared" si="74"/>
        <v>0.08634566712883518</v>
      </c>
      <c r="S255" s="6">
        <f t="shared" si="75"/>
        <v>-7.380994969267463</v>
      </c>
      <c r="T255" s="6">
        <f t="shared" si="76"/>
        <v>-7.380994969267463</v>
      </c>
      <c r="U255" s="6">
        <f t="shared" si="77"/>
        <v>-5.741299991251605</v>
      </c>
      <c r="V255" s="6">
        <f t="shared" si="78"/>
        <v>-5.741299991251605</v>
      </c>
      <c r="W255" s="6">
        <f t="shared" si="79"/>
        <v>-6.4579865732551625</v>
      </c>
      <c r="X255" s="6">
        <f t="shared" si="80"/>
        <v>8.641071471171248</v>
      </c>
      <c r="Y255" s="6">
        <f t="shared" si="81"/>
        <v>-0.19851533613605313</v>
      </c>
    </row>
    <row r="256" ht="14.25">
      <c r="A256">
        <v>-96</v>
      </c>
      <c r="B256">
        <f t="shared" si="63"/>
        <v>-28.800000000000001</v>
      </c>
      <c r="E256">
        <f t="shared" si="64"/>
        <v>-1.5264</v>
      </c>
      <c r="F256">
        <f t="shared" si="65"/>
        <v>-1.5264</v>
      </c>
      <c r="G256">
        <f t="shared" si="66"/>
        <v>1.1102152169749795</v>
      </c>
      <c r="H256">
        <f t="shared" si="67"/>
        <v>1.1102152169749795</v>
      </c>
      <c r="I256">
        <f t="shared" si="68"/>
        <v>-2.3633202829163209</v>
      </c>
      <c r="J256">
        <f t="shared" si="69"/>
        <v>2.6111033276464721</v>
      </c>
      <c r="K256" s="5">
        <f t="shared" si="70"/>
        <v>0.17999999999999999</v>
      </c>
      <c r="N256" s="5">
        <f t="shared" si="71"/>
        <v>-172.80000000000001</v>
      </c>
      <c r="O256" s="5">
        <f t="shared" si="72"/>
        <v>-17.671985932566876</v>
      </c>
      <c r="P256" s="6">
        <f t="shared" si="73"/>
        <v>-139.88817288534139</v>
      </c>
      <c r="Q256" s="6"/>
      <c r="R256" s="6">
        <f t="shared" si="74"/>
        <v>0.31876516994843684</v>
      </c>
      <c r="S256" s="6">
        <f t="shared" si="75"/>
        <v>-7.4140731629230938</v>
      </c>
      <c r="T256" s="6">
        <f t="shared" si="76"/>
        <v>-7.4140731629230938</v>
      </c>
      <c r="U256" s="6">
        <f t="shared" si="77"/>
        <v>-5.5349972914439194</v>
      </c>
      <c r="V256" s="6">
        <f t="shared" si="78"/>
        <v>-5.5349972914439194</v>
      </c>
      <c r="W256" s="6">
        <f t="shared" si="79"/>
        <v>-6.6745709896042378</v>
      </c>
      <c r="X256" s="6">
        <f t="shared" si="80"/>
        <v>8.6709914607014813</v>
      </c>
      <c r="Y256" s="6">
        <f t="shared" si="81"/>
        <v>-0.15904787339310189</v>
      </c>
    </row>
    <row r="257" ht="14.25">
      <c r="A257">
        <v>-97</v>
      </c>
      <c r="B257">
        <f t="shared" si="63"/>
        <v>-29.100000000000001</v>
      </c>
      <c r="E257">
        <f t="shared" si="64"/>
        <v>-1.5423</v>
      </c>
      <c r="F257">
        <f t="shared" si="65"/>
        <v>-1.5423</v>
      </c>
      <c r="G257">
        <f t="shared" si="66"/>
        <v>1.0976614127312345</v>
      </c>
      <c r="H257">
        <f t="shared" si="67"/>
        <v>1.0976614127312345</v>
      </c>
      <c r="I257">
        <f t="shared" si="68"/>
        <v>-2.3792202829163207</v>
      </c>
      <c r="J257">
        <f t="shared" si="69"/>
        <v>2.6202194052482604</v>
      </c>
      <c r="K257" s="5">
        <f t="shared" si="70"/>
        <v>0.17999999999999999</v>
      </c>
      <c r="N257" s="5">
        <f t="shared" si="71"/>
        <v>-174.59999999999999</v>
      </c>
      <c r="O257" s="5">
        <f t="shared" si="72"/>
        <v>-13.269272177910524</v>
      </c>
      <c r="P257" s="6">
        <f t="shared" si="73"/>
        <v>-140.37423700903429</v>
      </c>
      <c r="Q257" s="6"/>
      <c r="R257" s="6">
        <f t="shared" si="74"/>
        <v>0.55210899894522347</v>
      </c>
      <c r="S257" s="6">
        <f t="shared" si="75"/>
        <v>-7.4398345614788175</v>
      </c>
      <c r="T257" s="6">
        <f t="shared" si="76"/>
        <v>-7.4398345614788175</v>
      </c>
      <c r="U257" s="6">
        <f t="shared" si="77"/>
        <v>-5.3219933086429592</v>
      </c>
      <c r="V257" s="6">
        <f t="shared" si="78"/>
        <v>-5.3219933086429592</v>
      </c>
      <c r="W257" s="6">
        <f t="shared" si="79"/>
        <v>-6.8845684102172902</v>
      </c>
      <c r="X257" s="6">
        <f t="shared" si="80"/>
        <v>8.7017753919646914</v>
      </c>
      <c r="Y257" s="6">
        <f t="shared" si="81"/>
        <v>-0.11942344960119472</v>
      </c>
    </row>
    <row r="258" ht="14.25">
      <c r="A258">
        <v>-98</v>
      </c>
      <c r="B258">
        <f t="shared" si="63"/>
        <v>-29.399999999999999</v>
      </c>
      <c r="E258">
        <f t="shared" si="64"/>
        <v>-1.5581999999999998</v>
      </c>
      <c r="F258">
        <f t="shared" si="65"/>
        <v>-1.5581999999999998</v>
      </c>
      <c r="G258">
        <f t="shared" si="66"/>
        <v>1.08510760848749</v>
      </c>
      <c r="H258">
        <f t="shared" si="67"/>
        <v>1.08510760848749</v>
      </c>
      <c r="I258">
        <f t="shared" si="68"/>
        <v>-2.395120282916321</v>
      </c>
      <c r="J258">
        <f t="shared" si="69"/>
        <v>2.629459961975956</v>
      </c>
      <c r="K258" s="5">
        <f t="shared" si="70"/>
        <v>0.17999999999999999</v>
      </c>
      <c r="N258" s="5">
        <f t="shared" si="71"/>
        <v>-176.40000000000001</v>
      </c>
      <c r="O258" s="5">
        <f t="shared" si="72"/>
        <v>-8.8534632536332154</v>
      </c>
      <c r="P258" s="6">
        <f t="shared" si="73"/>
        <v>-140.72176870838629</v>
      </c>
      <c r="Q258" s="6"/>
      <c r="R258" s="6">
        <f t="shared" si="74"/>
        <v>0.7861468719319209</v>
      </c>
      <c r="S258" s="6">
        <f t="shared" si="75"/>
        <v>-7.458253741544473</v>
      </c>
      <c r="T258" s="6">
        <f t="shared" si="76"/>
        <v>-7.458253741544473</v>
      </c>
      <c r="U258" s="6">
        <f t="shared" si="77"/>
        <v>-5.102498252063465</v>
      </c>
      <c r="V258" s="6">
        <f t="shared" si="78"/>
        <v>-5.102498252063465</v>
      </c>
      <c r="W258" s="6">
        <f t="shared" si="79"/>
        <v>-7.0877715929934748</v>
      </c>
      <c r="X258" s="6">
        <f t="shared" si="80"/>
        <v>8.7333839127085202</v>
      </c>
      <c r="Y258" s="6">
        <f t="shared" si="81"/>
        <v>-0.079681169282698944</v>
      </c>
    </row>
    <row r="259" ht="14.25">
      <c r="A259">
        <v>-99</v>
      </c>
      <c r="B259">
        <f t="shared" si="63"/>
        <v>-29.699999999999999</v>
      </c>
      <c r="E259">
        <f t="shared" si="64"/>
        <v>-1.5740999999999998</v>
      </c>
      <c r="F259">
        <f t="shared" si="65"/>
        <v>-1.5740999999999998</v>
      </c>
      <c r="G259">
        <f t="shared" si="66"/>
        <v>1.072553804243745</v>
      </c>
      <c r="H259">
        <f t="shared" si="67"/>
        <v>1.072553804243745</v>
      </c>
      <c r="I259">
        <f t="shared" si="68"/>
        <v>-2.4110202829163208</v>
      </c>
      <c r="J259">
        <f t="shared" si="69"/>
        <v>2.6388236901376385</v>
      </c>
      <c r="K259" s="5">
        <f t="shared" si="70"/>
        <v>0.17999999999999999</v>
      </c>
      <c r="N259" s="5">
        <f t="shared" si="71"/>
        <v>-178.19999999999999</v>
      </c>
      <c r="O259" s="5">
        <f t="shared" si="72"/>
        <v>-4.4289170300160814</v>
      </c>
      <c r="P259" s="6">
        <f t="shared" si="73"/>
        <v>-140.93042501156816</v>
      </c>
      <c r="Q259" s="6"/>
      <c r="R259" s="6">
        <f t="shared" si="74"/>
        <v>1.020647821783629</v>
      </c>
      <c r="S259" s="6">
        <f t="shared" si="75"/>
        <v>-7.4693125256131125</v>
      </c>
      <c r="T259" s="6">
        <f t="shared" si="76"/>
        <v>-7.4693125256131125</v>
      </c>
      <c r="U259" s="6">
        <f t="shared" si="77"/>
        <v>-4.8767287368263199</v>
      </c>
      <c r="V259" s="6">
        <f t="shared" si="78"/>
        <v>-4.8767287368263199</v>
      </c>
      <c r="W259" s="6">
        <f t="shared" si="79"/>
        <v>-7.283980000924414</v>
      </c>
      <c r="X259" s="6">
        <f t="shared" si="80"/>
        <v>8.7657770805818735</v>
      </c>
      <c r="Y259" s="6">
        <f t="shared" si="81"/>
        <v>-0.039860253270144731</v>
      </c>
    </row>
    <row r="260" ht="14.25">
      <c r="A260">
        <v>-100</v>
      </c>
      <c r="B260">
        <f t="shared" si="63"/>
        <v>-30</v>
      </c>
      <c r="E260">
        <f t="shared" si="64"/>
        <v>-1.5899999999999999</v>
      </c>
      <c r="F260">
        <f t="shared" si="65"/>
        <v>-1.5899999999999999</v>
      </c>
      <c r="G260">
        <f t="shared" si="66"/>
        <v>1.0600000000000003</v>
      </c>
      <c r="H260">
        <f t="shared" si="67"/>
        <v>1.0600000000000003</v>
      </c>
      <c r="I260">
        <f t="shared" si="68"/>
        <v>-2.4269202829163206</v>
      </c>
      <c r="J260">
        <f t="shared" si="69"/>
        <v>2.648309283227817</v>
      </c>
      <c r="K260" s="5">
        <f t="shared" si="70"/>
        <v>0.17999999999999999</v>
      </c>
      <c r="N260" s="5">
        <f t="shared" si="71"/>
        <v>-180</v>
      </c>
      <c r="O260" s="5">
        <f t="shared" si="72"/>
        <v>-1.7267519867977681e-14</v>
      </c>
      <c r="P260" s="6">
        <f t="shared" si="73"/>
        <v>-141</v>
      </c>
      <c r="Q260" s="6"/>
      <c r="R260" s="6">
        <f t="shared" si="74"/>
        <v>1.2553804243744804</v>
      </c>
      <c r="S260" s="6">
        <f t="shared" si="75"/>
        <v>-7.4729999999999999</v>
      </c>
      <c r="T260" s="6">
        <f t="shared" si="76"/>
        <v>-7.4729999999999999</v>
      </c>
      <c r="U260" s="6">
        <f t="shared" si="77"/>
        <v>-4.6449075701855822</v>
      </c>
      <c r="V260" s="6">
        <f t="shared" si="78"/>
        <v>-4.6449075701855822</v>
      </c>
      <c r="W260" s="6">
        <f t="shared" si="79"/>
        <v>-7.472999999999999</v>
      </c>
      <c r="X260" s="6">
        <f t="shared" si="80"/>
        <v>8.7989144407459321</v>
      </c>
      <c r="Y260" s="6">
        <f t="shared" si="81"/>
        <v>-1.5540767881179914e-16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2026-02-03T15:26:55Z</dcterms:modified>
</cp:coreProperties>
</file>
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<sst xmlns="http://schemas.openxmlformats.org/spreadsheetml/2006/main" count="38" uniqueCount="38">
  <si>
    <t>Eлм</t>
  </si>
  <si>
    <t>Eфrms</t>
  </si>
  <si>
    <t>Eлrms</t>
  </si>
  <si>
    <t>Eфм</t>
  </si>
  <si>
    <t>f</t>
  </si>
  <si>
    <t>n</t>
  </si>
  <si>
    <t>p</t>
  </si>
  <si>
    <t>psi</t>
  </si>
  <si>
    <t>startd</t>
  </si>
  <si>
    <t>endd</t>
  </si>
  <si>
    <t>startq</t>
  </si>
  <si>
    <t>endq</t>
  </si>
  <si>
    <t>Ψ</t>
  </si>
  <si>
    <t>R</t>
  </si>
  <si>
    <t>I</t>
  </si>
  <si>
    <t>Ld</t>
  </si>
  <si>
    <t>E</t>
  </si>
  <si>
    <t>Lq</t>
  </si>
  <si>
    <t>IdR</t>
  </si>
  <si>
    <t>IqR</t>
  </si>
  <si>
    <t>Id</t>
  </si>
  <si>
    <t>IdXd</t>
  </si>
  <si>
    <t>Iq</t>
  </si>
  <si>
    <t>IqXq</t>
  </si>
  <si>
    <t>U</t>
  </si>
  <si>
    <t>ω</t>
  </si>
  <si>
    <t>IRd</t>
  </si>
  <si>
    <t>IRq</t>
  </si>
  <si>
    <t>M</t>
  </si>
  <si>
    <t>Idm</t>
  </si>
  <si>
    <t>Is</t>
  </si>
  <si>
    <t>Id%</t>
  </si>
  <si>
    <t>IdXd_d</t>
  </si>
  <si>
    <t>IdXd_q</t>
  </si>
  <si>
    <t>IqXq_d</t>
  </si>
  <si>
    <t>IqXq_q</t>
  </si>
  <si>
    <t>Um</t>
  </si>
  <si>
    <t>ang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</si>
</sst>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sana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0" fillId="0" borderId="0" numFmtId="11" xfId="0" applyNumberFormat="1"/>
    <xf fontId="0" fillId="0" borderId="0" numFmtId="11" xfId="0" applyNumberFormat="1"/>
    <xf fontId="0" fillId="0" borderId="0" numFmtId="2" xfId="0" applyNumberFormat="1"/>
    <xf fontId="0" fillId="2" borderId="0" numFmtId="0" xfId="0" applyFill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68730"/>
          <c:y val="0.025690"/>
          <c:w val="0.828810"/>
          <c:h val="0.754860"/>
        </c:manualLayout>
      </c:layout>
      <c:scatterChart>
        <c:scatterStyle val="lineMarker"/>
        <c:varyColors val="0"/>
        <c:ser>
          <c:idx val="0"/>
          <c:order val="0"/>
          <c:tx>
            <c:v>E</c:v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'Лист1'!$E$8:$F$8</c:f>
            </c:numRef>
          </c:xVal>
          <c:yVal>
            <c:numRef>
              <c:f>'Лист1'!$G$8:$H$8</c:f>
            </c:numRef>
          </c:yVal>
          <c:smooth val="0"/>
        </c:ser>
        <c:ser>
          <c:idx val="1"/>
          <c:order val="1"/>
          <c:tx>
            <c:v>IdR</c:v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'Лист1'!$E$9:$F$9</c:f>
            </c:numRef>
          </c:xVal>
          <c:yVal>
            <c:numRef>
              <c:f>'Лист1'!$G$9:$H$9</c:f>
            </c:numRef>
          </c:yVal>
          <c:smooth val="0"/>
        </c:ser>
        <c:ser>
          <c:idx val="2"/>
          <c:order val="2"/>
          <c:tx>
            <c:v>IqXq</c:v>
          </c:tx>
          <c:spPr bwMode="auto">
            <a:prstGeom prst="rect">
              <a:avLst/>
            </a:prstGeom>
            <a:solidFill>
              <a:schemeClr val="accent3"/>
            </a:solidFill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'Лист1'!$E$12:$F$12</c:f>
            </c:numRef>
          </c:xVal>
          <c:yVal>
            <c:numRef>
              <c:f>'Лист1'!$G$12:$H$12</c:f>
            </c:numRef>
          </c:yVal>
          <c:smooth val="0"/>
        </c:ser>
        <c:ser>
          <c:idx val="3"/>
          <c:order val="3"/>
          <c:tx>
            <c:v>U</c:v>
          </c:tx>
          <c:spPr bwMode="auto">
            <a:prstGeom prst="rect">
              <a:avLst/>
            </a:prstGeom>
            <a:solidFill>
              <a:schemeClr val="accent4"/>
            </a:solidFill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'Лист1'!$E$13:$F$13</c:f>
            </c:numRef>
          </c:xVal>
          <c:yVal>
            <c:numRef>
              <c:f>'Лист1'!$G$13:$H$13</c:f>
            </c:numRef>
          </c:yVal>
          <c:smooth val="0"/>
        </c:ser>
        <c:ser>
          <c:idx val="4"/>
          <c:order val="4"/>
          <c:tx>
            <c:v>I</c:v>
          </c:tx>
          <c:spPr bwMode="auto">
            <a:prstGeom prst="rect">
              <a:avLst/>
            </a:prstGeom>
            <a:solidFill>
              <a:schemeClr val="accent5"/>
            </a:solidFill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5"/>
              </a:solidFill>
              <a:ln w="9525">
                <a:solidFill>
                  <a:schemeClr val="accent5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'Лист1'!$E$7:$F$7</c:f>
            </c:numRef>
          </c:xVal>
          <c:yVal>
            <c:numRef>
              <c:f>'Лист1'!$G$7:$H$7</c:f>
            </c:numRef>
          </c:yVal>
          <c:smooth val="0"/>
        </c:ser>
        <c:ser>
          <c:idx val="5"/>
          <c:order val="5"/>
          <c:tx>
            <c:v>Ф</c:v>
          </c:tx>
          <c:spPr bwMode="auto">
            <a:prstGeom prst="rect">
              <a:avLst/>
            </a:prstGeom>
            <a:solidFill>
              <a:schemeClr val="accent6"/>
            </a:solidFill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6"/>
              </a:solidFill>
              <a:ln w="9525">
                <a:solidFill>
                  <a:schemeClr val="accent6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'Лист1'!$G$6:$H$6</c:f>
            </c:numRef>
          </c:xVal>
          <c:yVal>
            <c:numRef>
              <c:f>'Лист1'!$E$6:$F$6</c:f>
            </c:numRef>
          </c:yVal>
          <c:smooth val="0"/>
        </c:ser>
        <c:ser>
          <c:idx val="6"/>
          <c:order val="6"/>
          <c:tx>
            <c:v>IqR</c:v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'Лист1'!$E$10:$F$10</c:f>
            </c:numRef>
          </c:xVal>
          <c:yVal>
            <c:numRef>
              <c:f>'Лист1'!$G$10:$H$10</c:f>
            </c:numRef>
          </c:yVal>
          <c:smooth val="0"/>
        </c:ser>
        <c:ser>
          <c:idx val="7"/>
          <c:order val="7"/>
          <c:tx>
            <c:v>IdXd</c:v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 w="19050" cap="rnd">
              <a:solidFill>
                <a:schemeClr val="accent2">
                  <a:lumMod val="60000"/>
                </a:schemeClr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'Лист1'!$E$11:$F$11</c:f>
            </c:numRef>
          </c:xVal>
          <c:yVal>
            <c:numRef>
              <c:f>'Лист1'!$G$11:$H$11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630600171"/>
        <c:axId val="630600172"/>
      </c:scatterChart>
      <c:valAx>
        <c:axId val="63060017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600172"/>
        <c:crosses val="autoZero"/>
        <c:crossBetween val="midCat"/>
      </c:valAx>
      <c:valAx>
        <c:axId val="6306001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600171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8543924" y="542924"/>
      <a:ext cx="3126103" cy="290512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U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'Лист1'!$J$59</c:f>
              <c:strCache>
                <c:ptCount val="1"/>
                <c:pt idx="0">
                  <c:v>Um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'Лист1'!$B$60:$B$260</c:f>
            </c:numRef>
          </c:xVal>
          <c:yVal>
            <c:numRef>
              <c:f>'Лист1'!$J$60:$J$260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73"/>
        <c:axId val="664969074"/>
      </c:scatterChart>
      <c:valAx>
        <c:axId val="66496907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4"/>
        <c:crosses val="autoZero"/>
        <c:crossBetween val="between"/>
      </c:valAx>
      <c:valAx>
        <c:axId val="66496907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824037" y="454342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'Лист1'!$K$59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'Лист1'!$B$60:$B$260</c:f>
            </c:numRef>
          </c:xVal>
          <c:yVal>
            <c:numRef>
              <c:f>'Лист1'!$K$60:$K$260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79"/>
        <c:axId val="664969080"/>
      </c:scatterChart>
      <c:valAx>
        <c:axId val="66496907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0"/>
        <c:crosses val="autoZero"/>
        <c:crossBetween val="between"/>
      </c:valAx>
      <c:valAx>
        <c:axId val="6649690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05599" y="45434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U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'Лист1'!$J$59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'Лист1'!$N$60:$N$260</c:f>
            </c:numRef>
          </c:xVal>
          <c:yVal>
            <c:numRef>
              <c:f>'Лист1'!$X$60:$X$260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83"/>
        <c:axId val="664969084"/>
      </c:scatterChart>
      <c:valAx>
        <c:axId val="66496908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4"/>
        <c:crosses val="autoZero"/>
        <c:crossBetween val="between"/>
      </c:valAx>
      <c:valAx>
        <c:axId val="66496908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828799" y="74390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'Лист1'!$K$59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'Лист1'!$N$60:$N$260</c:f>
            </c:numRef>
          </c:xVal>
          <c:yVal>
            <c:numRef>
              <c:f>'Лист1'!$Y$60:$Y$260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87"/>
        <c:axId val="664969088"/>
      </c:scatterChart>
      <c:valAx>
        <c:axId val="66496908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8"/>
        <c:crosses val="autoZero"/>
        <c:crossBetween val="between"/>
      </c:valAx>
      <c:valAx>
        <c:axId val="6649690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05599" y="7439024"/>
      <a:ext cx="4781547" cy="272414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9524</xdr:colOff>
      <xdr:row>2</xdr:row>
      <xdr:rowOff>180974</xdr:rowOff>
    </xdr:from>
    <xdr:to>
      <xdr:col>19</xdr:col>
      <xdr:colOff>87628</xdr:colOff>
      <xdr:row>18</xdr:row>
      <xdr:rowOff>171447</xdr:rowOff>
    </xdr:to>
    <xdr:graphicFrame>
      <xdr:nvGraphicFramePr>
        <xdr:cNvPr id="2102626635" name=""/>
        <xdr:cNvGraphicFramePr>
          <a:graphicFrameLocks xmlns:a="http://schemas.openxmlformats.org/drawingml/2006/main"/>
        </xdr:cNvGraphicFramePr>
      </xdr:nvGraphicFramePr>
      <xdr:xfrm rot="0">
        <a:off x="8543924" y="542924"/>
        <a:ext cx="3126103" cy="290512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2</xdr:col>
      <xdr:colOff>604837</xdr:colOff>
      <xdr:row>24</xdr:row>
      <xdr:rowOff>180974</xdr:rowOff>
    </xdr:from>
    <xdr:to>
      <xdr:col>10</xdr:col>
      <xdr:colOff>280987</xdr:colOff>
      <xdr:row>40</xdr:row>
      <xdr:rowOff>9524</xdr:rowOff>
    </xdr:to>
    <xdr:graphicFrame>
      <xdr:nvGraphicFramePr>
        <xdr:cNvPr id="1545508772" name=""/>
        <xdr:cNvGraphicFramePr>
          <a:graphicFrameLocks xmlns:a="http://schemas.openxmlformats.org/drawingml/2006/main"/>
        </xdr:cNvGraphicFramePr>
      </xdr:nvGraphicFramePr>
      <xdr:xfrm rot="0">
        <a:off x="1824037" y="454342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10</xdr:col>
      <xdr:colOff>609599</xdr:colOff>
      <xdr:row>24</xdr:row>
      <xdr:rowOff>180974</xdr:rowOff>
    </xdr:from>
    <xdr:to>
      <xdr:col>18</xdr:col>
      <xdr:colOff>285748</xdr:colOff>
      <xdr:row>40</xdr:row>
      <xdr:rowOff>9523</xdr:rowOff>
    </xdr:to>
    <xdr:graphicFrame>
      <xdr:nvGraphicFramePr>
        <xdr:cNvPr id="100684104" name=""/>
        <xdr:cNvGraphicFramePr>
          <a:graphicFrameLocks xmlns:a="http://schemas.openxmlformats.org/drawingml/2006/main"/>
        </xdr:cNvGraphicFramePr>
      </xdr:nvGraphicFramePr>
      <xdr:xfrm rot="0">
        <a:off x="6705599" y="4543424"/>
        <a:ext cx="455294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2</xdr:col>
      <xdr:colOff>609599</xdr:colOff>
      <xdr:row>40</xdr:row>
      <xdr:rowOff>180974</xdr:rowOff>
    </xdr:from>
    <xdr:to>
      <xdr:col>10</xdr:col>
      <xdr:colOff>285748</xdr:colOff>
      <xdr:row>56</xdr:row>
      <xdr:rowOff>9523</xdr:rowOff>
    </xdr:to>
    <xdr:graphicFrame>
      <xdr:nvGraphicFramePr>
        <xdr:cNvPr id="247355617" name=""/>
        <xdr:cNvGraphicFramePr>
          <a:graphicFrameLocks xmlns:a="http://schemas.openxmlformats.org/drawingml/2006/main"/>
        </xdr:cNvGraphicFramePr>
      </xdr:nvGraphicFramePr>
      <xdr:xfrm rot="0">
        <a:off x="1828799" y="7439024"/>
        <a:ext cx="455294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10</xdr:col>
      <xdr:colOff>609599</xdr:colOff>
      <xdr:row>40</xdr:row>
      <xdr:rowOff>180974</xdr:rowOff>
    </xdr:from>
    <xdr:to>
      <xdr:col>18</xdr:col>
      <xdr:colOff>285747</xdr:colOff>
      <xdr:row>56</xdr:row>
      <xdr:rowOff>9521</xdr:rowOff>
    </xdr:to>
    <xdr:graphicFrame>
      <xdr:nvGraphicFramePr>
        <xdr:cNvPr id="2054016054" name=""/>
        <xdr:cNvGraphicFramePr>
          <a:graphicFrameLocks xmlns:a="http://schemas.openxmlformats.org/drawingml/2006/main"/>
        </xdr:cNvGraphicFramePr>
      </xdr:nvGraphicFramePr>
      <xdr:xfrm rot="0">
        <a:off x="6705599" y="7439024"/>
        <a:ext cx="4781547" cy="272414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5" max="16" width="10.8515625"/>
    <col bestFit="1" min="19" max="20" width="10.8515625"/>
    <col bestFit="1" min="25" max="25" width="9.8515625"/>
  </cols>
  <sheetData>
    <row r="1" ht="14.25">
      <c r="A1" t="s">
        <v>0</v>
      </c>
      <c r="B1">
        <v>1.28</v>
      </c>
      <c r="D1" t="s">
        <v>1</v>
      </c>
      <c r="E1">
        <v>100</v>
      </c>
      <c r="G1" t="s">
        <v>2</v>
      </c>
      <c r="H1">
        <v>173</v>
      </c>
      <c r="J1" t="s">
        <v>3</v>
      </c>
      <c r="K1">
        <v>141</v>
      </c>
    </row>
    <row r="2" ht="14.25">
      <c r="A2" t="s">
        <v>4</v>
      </c>
      <c r="B2">
        <v>19.23</v>
      </c>
      <c r="D2" t="s">
        <v>5</v>
      </c>
      <c r="E2">
        <v>3000</v>
      </c>
      <c r="G2" t="s">
        <v>5</v>
      </c>
      <c r="H2">
        <v>3000</v>
      </c>
      <c r="J2" t="s">
        <v>5</v>
      </c>
      <c r="K2">
        <v>3000</v>
      </c>
    </row>
    <row r="3" ht="14.25">
      <c r="D3" t="s">
        <v>6</v>
      </c>
      <c r="E3">
        <v>1</v>
      </c>
      <c r="G3" t="s">
        <v>6</v>
      </c>
      <c r="H3">
        <v>1</v>
      </c>
      <c r="J3" t="s">
        <v>6</v>
      </c>
      <c r="K3">
        <v>1</v>
      </c>
    </row>
    <row r="4" ht="15">
      <c r="A4" t="s">
        <v>7</v>
      </c>
      <c r="B4">
        <f>B1/SQRT(3)/B2/2/PI()</f>
        <v>0.0061163198660070545</v>
      </c>
      <c r="D4" t="s">
        <v>7</v>
      </c>
      <c r="E4">
        <f>E1*SQRT(2)/E2*60/2/PI()/E3</f>
        <v>0.45015815807855303</v>
      </c>
      <c r="G4" t="s">
        <v>7</v>
      </c>
      <c r="H4">
        <f>H1/SQRT(3)*SQRT(2)/H2*60/2/PI()/H3</f>
        <v>0.44962515537808667</v>
      </c>
      <c r="J4" t="s">
        <v>7</v>
      </c>
      <c r="K4">
        <f>K1/K2*60/2/PI()/K3</f>
        <v>0.44881693951914486</v>
      </c>
    </row>
    <row r="5" ht="14.25">
      <c r="E5" t="s">
        <v>8</v>
      </c>
      <c r="F5" t="s">
        <v>9</v>
      </c>
      <c r="G5" t="s">
        <v>10</v>
      </c>
      <c r="H5" t="s">
        <v>11</v>
      </c>
    </row>
    <row r="6" ht="15">
      <c r="A6" s="1" t="s">
        <v>12</v>
      </c>
      <c r="B6">
        <v>0.0060000000000000001</v>
      </c>
      <c r="D6" s="1" t="s">
        <v>12</v>
      </c>
      <c r="E6">
        <v>0</v>
      </c>
      <c r="F6">
        <v>0</v>
      </c>
      <c r="G6">
        <v>4.5</v>
      </c>
      <c r="H6">
        <v>0</v>
      </c>
    </row>
    <row r="7" ht="14.25">
      <c r="A7" t="s">
        <v>13</v>
      </c>
      <c r="B7" s="2">
        <v>0.052999999999999999</v>
      </c>
      <c r="D7" t="s">
        <v>14</v>
      </c>
      <c r="E7">
        <v>0</v>
      </c>
      <c r="F7">
        <f>B11</f>
        <v>20</v>
      </c>
      <c r="G7">
        <v>0</v>
      </c>
      <c r="H7">
        <f>B12</f>
        <v>3</v>
      </c>
    </row>
    <row r="8" ht="14.25">
      <c r="A8" t="s">
        <v>15</v>
      </c>
      <c r="B8" s="3">
        <v>5.1999999999999997e-05</v>
      </c>
      <c r="D8" t="s">
        <v>16</v>
      </c>
      <c r="E8">
        <v>0</v>
      </c>
      <c r="F8">
        <f>0</f>
        <v>0</v>
      </c>
      <c r="G8">
        <v>0</v>
      </c>
      <c r="H8">
        <f>B15</f>
        <v>1.2553804243744813</v>
      </c>
    </row>
    <row r="9" ht="14.25">
      <c r="A9" t="s">
        <v>17</v>
      </c>
      <c r="B9" s="3">
        <v>4.8000000000000001e-05</v>
      </c>
      <c r="D9" t="s">
        <v>18</v>
      </c>
      <c r="E9">
        <f t="shared" ref="E9:E10" si="0">F8</f>
        <v>0</v>
      </c>
      <c r="F9">
        <f>E9+B16</f>
        <v>1.0600000000000001</v>
      </c>
      <c r="G9">
        <f t="shared" ref="G9:G10" si="1">H8</f>
        <v>1.2553804243744813</v>
      </c>
      <c r="H9">
        <f>G9</f>
        <v>1.2553804243744813</v>
      </c>
    </row>
    <row r="10" ht="14.25">
      <c r="D10" t="s">
        <v>19</v>
      </c>
      <c r="E10">
        <f t="shared" si="0"/>
        <v>1.0600000000000001</v>
      </c>
      <c r="F10">
        <f t="shared" ref="F10:F11" si="2">E10</f>
        <v>1.0600000000000001</v>
      </c>
      <c r="G10">
        <f t="shared" si="1"/>
        <v>1.2553804243744813</v>
      </c>
      <c r="H10">
        <f t="shared" ref="H10:H11" si="3">G10+B17</f>
        <v>1.4143804243744813</v>
      </c>
    </row>
    <row r="11" ht="14.25">
      <c r="A11" t="s">
        <v>20</v>
      </c>
      <c r="B11">
        <v>20</v>
      </c>
      <c r="D11" t="s">
        <v>21</v>
      </c>
      <c r="E11">
        <f t="shared" ref="E11:E12" si="4">F10</f>
        <v>1.0600000000000001</v>
      </c>
      <c r="F11">
        <f t="shared" si="2"/>
        <v>1.0600000000000001</v>
      </c>
      <c r="G11">
        <f t="shared" ref="G11:G12" si="5">H10</f>
        <v>1.4143804243744813</v>
      </c>
      <c r="H11">
        <f t="shared" si="3"/>
        <v>1.6319796979327248</v>
      </c>
      <c r="L11">
        <v>0.027567000000000001</v>
      </c>
    </row>
    <row r="12" ht="14.25">
      <c r="A12" t="s">
        <v>22</v>
      </c>
      <c r="B12" s="4">
        <v>3</v>
      </c>
      <c r="D12" t="s">
        <v>23</v>
      </c>
      <c r="E12">
        <f t="shared" si="4"/>
        <v>1.0600000000000001</v>
      </c>
      <c r="F12">
        <f>E12-B19</f>
        <v>1.0298708698150125</v>
      </c>
      <c r="G12">
        <f t="shared" si="5"/>
        <v>1.6319796979327248</v>
      </c>
      <c r="H12">
        <f>G12</f>
        <v>1.6319796979327248</v>
      </c>
    </row>
    <row r="13" ht="14.25">
      <c r="A13" t="s">
        <v>6</v>
      </c>
      <c r="B13">
        <v>1</v>
      </c>
      <c r="D13" t="s">
        <v>24</v>
      </c>
      <c r="E13">
        <v>0</v>
      </c>
      <c r="F13">
        <f>F12</f>
        <v>1.0298708698150125</v>
      </c>
      <c r="G13">
        <v>0</v>
      </c>
      <c r="H13">
        <f>H12</f>
        <v>1.6319796979327248</v>
      </c>
    </row>
    <row r="14" ht="15">
      <c r="A14" s="1" t="s">
        <v>25</v>
      </c>
      <c r="B14">
        <f>33.3*2*PI()</f>
        <v>209.23007072908021</v>
      </c>
      <c r="L14">
        <v>0.0059249999999999997</v>
      </c>
    </row>
    <row r="15" ht="14.25">
      <c r="A15" t="s">
        <v>16</v>
      </c>
      <c r="B15">
        <f>B14*B6</f>
        <v>1.2553804243744813</v>
      </c>
    </row>
    <row r="16" ht="14.25">
      <c r="A16" t="s">
        <v>26</v>
      </c>
      <c r="B16">
        <f>B11*B7</f>
        <v>1.0600000000000001</v>
      </c>
    </row>
    <row r="17" ht="14.25">
      <c r="A17" t="s">
        <v>27</v>
      </c>
      <c r="B17">
        <f>B12*B7</f>
        <v>0.159</v>
      </c>
    </row>
    <row r="18" ht="14.25">
      <c r="A18" t="s">
        <v>21</v>
      </c>
      <c r="B18">
        <f>B11*B8*B14</f>
        <v>0.21759927355824341</v>
      </c>
    </row>
    <row r="19" ht="14.25">
      <c r="A19" t="s">
        <v>23</v>
      </c>
      <c r="B19">
        <f>B12*B9*B14</f>
        <v>0.03012913018498755</v>
      </c>
    </row>
    <row r="20" ht="14.25">
      <c r="A20" t="s">
        <v>24</v>
      </c>
      <c r="B20">
        <f>SQRT(F12*F12+H12*H12)</f>
        <v>1.9297646859029518</v>
      </c>
    </row>
    <row r="21" ht="14.25">
      <c r="A21" t="s">
        <v>28</v>
      </c>
      <c r="B21">
        <f>1.5*B13*(B12*B6+B11*B12*(B8-B9))</f>
        <v>0.027360000000000002</v>
      </c>
    </row>
    <row r="25" s="5" customFormat="1" ht="14.25"/>
    <row r="26" ht="14.25">
      <c r="A26" t="s">
        <v>22</v>
      </c>
      <c r="B26">
        <v>20</v>
      </c>
    </row>
    <row r="27" ht="14.25">
      <c r="A27" t="s">
        <v>29</v>
      </c>
      <c r="B27">
        <v>30</v>
      </c>
    </row>
    <row r="31" ht="14.25">
      <c r="A31" t="s">
        <v>30</v>
      </c>
      <c r="B31">
        <v>141</v>
      </c>
    </row>
    <row r="48" ht="14.25">
      <c r="Y48">
        <f>MAX(Y60:Y260)</f>
        <v>1.274544116827145</v>
      </c>
    </row>
    <row r="59" ht="14.25">
      <c r="A59" t="s">
        <v>31</v>
      </c>
      <c r="B59" t="s">
        <v>20</v>
      </c>
      <c r="C59" t="s">
        <v>16</v>
      </c>
      <c r="D59" t="s">
        <v>19</v>
      </c>
      <c r="E59" t="s">
        <v>18</v>
      </c>
      <c r="F59" t="s">
        <v>32</v>
      </c>
      <c r="G59" t="s">
        <v>33</v>
      </c>
      <c r="H59" t="s">
        <v>34</v>
      </c>
      <c r="I59" t="s">
        <v>35</v>
      </c>
      <c r="J59" t="s">
        <v>36</v>
      </c>
      <c r="K59" t="s">
        <v>28</v>
      </c>
      <c r="N59" s="6" t="s">
        <v>37</v>
      </c>
      <c r="O59" s="6" t="s">
        <v>22</v>
      </c>
      <c r="P59" t="s">
        <v>20</v>
      </c>
      <c r="Q59" t="s">
        <v>16</v>
      </c>
      <c r="R59" t="s">
        <v>19</v>
      </c>
      <c r="S59" t="s">
        <v>18</v>
      </c>
      <c r="T59" t="s">
        <v>32</v>
      </c>
      <c r="U59" t="s">
        <v>33</v>
      </c>
      <c r="V59" t="s">
        <v>34</v>
      </c>
      <c r="W59" t="s">
        <v>35</v>
      </c>
      <c r="X59" t="s">
        <v>36</v>
      </c>
      <c r="Y59" t="s">
        <v>28</v>
      </c>
    </row>
    <row r="60" ht="14.25">
      <c r="A60">
        <v>100</v>
      </c>
      <c r="B60">
        <f t="shared" ref="B60:B99" si="6">$B$27*A60/100</f>
        <v>30</v>
      </c>
      <c r="C60">
        <f>$H$8</f>
        <v>1.2553804243744813</v>
      </c>
      <c r="D60">
        <f>$C$60+$B$26*$B$7</f>
        <v>2.3153804243744815</v>
      </c>
      <c r="E60">
        <f t="shared" ref="E60:E99" si="7">B60*$B$7</f>
        <v>1.5899999999999999</v>
      </c>
      <c r="F60">
        <f t="shared" ref="F60:F99" si="8">E60</f>
        <v>1.5899999999999999</v>
      </c>
      <c r="G60">
        <f t="shared" ref="G60:G99" si="9">$D$60+B60*$B$8*$B$14</f>
        <v>2.6417793347118468</v>
      </c>
      <c r="H60">
        <f t="shared" ref="H60:H99" si="10">G60</f>
        <v>2.6417793347118468</v>
      </c>
      <c r="I60">
        <f t="shared" ref="I60:I99" si="11">E60-$B$26*$B$14*$B$9</f>
        <v>1.3891391321000828</v>
      </c>
      <c r="J60">
        <f t="shared" ref="J60:J99" si="12">SQRT(I60*I60+H60*H60)</f>
        <v>2.9847454802113931</v>
      </c>
      <c r="K60">
        <f t="shared" ref="K60:K99" si="13">1.5*$B$13*($B$26*$B$6+$B$26*B60*($B$8-$B$9))</f>
        <v>0.18359999999999999</v>
      </c>
      <c r="N60">
        <f t="shared" ref="N60:N99" si="14">180*A60/100</f>
        <v>180</v>
      </c>
      <c r="O60">
        <f t="shared" ref="O60:O99" si="15">$B$31*SIN(N60/180*PI())</f>
        <v>1.7267519867977681e-14</v>
      </c>
      <c r="P60" s="7">
        <f t="shared" ref="P60:P99" si="16">$B$31*COS(N60/180*PI())</f>
        <v>-141</v>
      </c>
      <c r="Q60" s="7">
        <f>$H$8</f>
        <v>1.2553804243744813</v>
      </c>
      <c r="R60" s="7">
        <f t="shared" ref="R60:R99" si="17">$Q$60+O60*$B$7</f>
        <v>1.2553804243744822</v>
      </c>
      <c r="S60" s="7">
        <f t="shared" ref="S60:S99" si="18">P60*$B$7</f>
        <v>-7.4729999999999999</v>
      </c>
      <c r="T60" s="7">
        <f t="shared" ref="T60:T99" si="19">S60</f>
        <v>-7.4729999999999999</v>
      </c>
      <c r="U60" s="7">
        <f t="shared" ref="U60:U99" si="20">R60+P60*$B$8*$B$14</f>
        <v>-0.27869445421113404</v>
      </c>
      <c r="V60" s="7">
        <f t="shared" ref="V60:V99" si="21">U60</f>
        <v>-0.27869445421113404</v>
      </c>
      <c r="W60" s="7">
        <f t="shared" ref="W60:W99" si="22">S60-O60*$B$14*$B$9</f>
        <v>-7.4729999999999999</v>
      </c>
      <c r="X60" s="7">
        <f t="shared" ref="X60:X99" si="23">SQRT(W60*W60+V60*V60)</f>
        <v>7.4781949425518484</v>
      </c>
      <c r="Y60" s="7">
        <f t="shared" ref="Y60:Y99" si="24">1.5*$B$13*(O60*$B$6+O60*P60*($B$8-$B$9))</f>
        <v>1.4079935700349002e-16</v>
      </c>
    </row>
    <row r="61" ht="14.25">
      <c r="A61">
        <v>99</v>
      </c>
      <c r="B61">
        <f t="shared" si="6"/>
        <v>29.699999999999999</v>
      </c>
      <c r="E61">
        <f t="shared" si="7"/>
        <v>1.5740999999999998</v>
      </c>
      <c r="F61">
        <f t="shared" si="8"/>
        <v>1.5740999999999998</v>
      </c>
      <c r="G61">
        <f t="shared" si="9"/>
        <v>2.6385153456084729</v>
      </c>
      <c r="H61">
        <f t="shared" si="10"/>
        <v>2.6385153456084729</v>
      </c>
      <c r="I61">
        <f t="shared" si="11"/>
        <v>1.3732391321000827</v>
      </c>
      <c r="J61">
        <f t="shared" si="12"/>
        <v>2.9744829706929554</v>
      </c>
      <c r="K61" s="6">
        <f t="shared" si="13"/>
        <v>0.183564</v>
      </c>
      <c r="N61" s="6">
        <f t="shared" si="14"/>
        <v>178.19999999999999</v>
      </c>
      <c r="O61" s="6">
        <f t="shared" si="15"/>
        <v>4.4289170300160814</v>
      </c>
      <c r="P61" s="7">
        <f t="shared" si="16"/>
        <v>-140.93042501156816</v>
      </c>
      <c r="Q61" s="7"/>
      <c r="R61" s="7">
        <f t="shared" si="17"/>
        <v>1.4901130269653335</v>
      </c>
      <c r="S61" s="7">
        <f t="shared" si="18"/>
        <v>-7.4693125256131125</v>
      </c>
      <c r="T61" s="7">
        <f t="shared" si="19"/>
        <v>-7.4693125256131125</v>
      </c>
      <c r="U61" s="7">
        <f t="shared" si="20"/>
        <v>-0.043204878273253033</v>
      </c>
      <c r="V61" s="7">
        <f t="shared" si="21"/>
        <v>-0.043204878273253033</v>
      </c>
      <c r="W61" s="7">
        <f t="shared" si="22"/>
        <v>-7.5137923315383999</v>
      </c>
      <c r="X61" s="7">
        <f t="shared" si="23"/>
        <v>7.5139165461822817</v>
      </c>
      <c r="Y61" s="7">
        <f t="shared" si="24"/>
        <v>0.036115238313857906</v>
      </c>
    </row>
    <row r="62" ht="14.25">
      <c r="A62">
        <v>98</v>
      </c>
      <c r="B62">
        <f t="shared" si="6"/>
        <v>29.399999999999999</v>
      </c>
      <c r="E62">
        <f t="shared" si="7"/>
        <v>1.5581999999999998</v>
      </c>
      <c r="F62">
        <f t="shared" si="8"/>
        <v>1.5581999999999998</v>
      </c>
      <c r="G62">
        <f t="shared" si="9"/>
        <v>2.6352513565050995</v>
      </c>
      <c r="H62">
        <f t="shared" si="10"/>
        <v>2.6352513565050995</v>
      </c>
      <c r="I62">
        <f t="shared" si="11"/>
        <v>1.3573391321000827</v>
      </c>
      <c r="J62">
        <f t="shared" si="12"/>
        <v>2.9642738118284844</v>
      </c>
      <c r="K62" s="6">
        <f t="shared" si="13"/>
        <v>0.18352799999999997</v>
      </c>
      <c r="N62" s="6">
        <f t="shared" si="14"/>
        <v>176.40000000000001</v>
      </c>
      <c r="O62" s="6">
        <f t="shared" si="15"/>
        <v>8.8534632536332154</v>
      </c>
      <c r="P62" s="7">
        <f t="shared" si="16"/>
        <v>-140.72176870838629</v>
      </c>
      <c r="Q62" s="7"/>
      <c r="R62" s="7">
        <f t="shared" si="17"/>
        <v>1.7246139768170416</v>
      </c>
      <c r="S62" s="7">
        <f t="shared" si="18"/>
        <v>-7.458253741544473</v>
      </c>
      <c r="T62" s="7">
        <f t="shared" si="19"/>
        <v>-7.458253741544473</v>
      </c>
      <c r="U62" s="7">
        <f t="shared" si="20"/>
        <v>0.19356624457824134</v>
      </c>
      <c r="V62" s="7">
        <f t="shared" si="21"/>
        <v>0.19356624457824134</v>
      </c>
      <c r="W62" s="7">
        <f t="shared" si="22"/>
        <v>-7.5471694571967127</v>
      </c>
      <c r="X62" s="7">
        <f t="shared" si="23"/>
        <v>7.5496512970257799</v>
      </c>
      <c r="Y62" s="7">
        <f t="shared" si="24"/>
        <v>0.072205919233223129</v>
      </c>
    </row>
    <row r="63" ht="14.25">
      <c r="A63">
        <v>97</v>
      </c>
      <c r="B63">
        <f t="shared" si="6"/>
        <v>29.100000000000001</v>
      </c>
      <c r="E63">
        <f t="shared" si="7"/>
        <v>1.5423</v>
      </c>
      <c r="F63">
        <f t="shared" si="8"/>
        <v>1.5423</v>
      </c>
      <c r="G63">
        <f t="shared" si="9"/>
        <v>2.6319873674017256</v>
      </c>
      <c r="H63">
        <f t="shared" si="10"/>
        <v>2.6319873674017256</v>
      </c>
      <c r="I63">
        <f t="shared" si="11"/>
        <v>1.3414391321000829</v>
      </c>
      <c r="J63">
        <f t="shared" si="12"/>
        <v>2.9541185567427197</v>
      </c>
      <c r="K63" s="6">
        <f t="shared" si="13"/>
        <v>0.18349199999999999</v>
      </c>
      <c r="N63" s="6">
        <f t="shared" si="14"/>
        <v>174.59999999999999</v>
      </c>
      <c r="O63" s="6">
        <f t="shared" si="15"/>
        <v>13.269272177910524</v>
      </c>
      <c r="P63" s="7">
        <f t="shared" si="16"/>
        <v>-140.37423700903429</v>
      </c>
      <c r="Q63" s="7"/>
      <c r="R63" s="7">
        <f t="shared" si="17"/>
        <v>1.9586518498037391</v>
      </c>
      <c r="S63" s="7">
        <f t="shared" si="18"/>
        <v>-7.4398345614788175</v>
      </c>
      <c r="T63" s="7">
        <f t="shared" si="19"/>
        <v>-7.4398345614788175</v>
      </c>
      <c r="U63" s="7">
        <f t="shared" si="20"/>
        <v>0.43138524983081172</v>
      </c>
      <c r="V63" s="7">
        <f t="shared" si="21"/>
        <v>0.43138524983081172</v>
      </c>
      <c r="W63" s="7">
        <f t="shared" si="22"/>
        <v>-7.5730984377815842</v>
      </c>
      <c r="X63" s="7">
        <f t="shared" si="23"/>
        <v>7.5853749532967365</v>
      </c>
      <c r="Y63" s="7">
        <f t="shared" si="24"/>
        <v>0.10824746585535835</v>
      </c>
    </row>
    <row r="64" ht="14.25">
      <c r="A64">
        <v>96</v>
      </c>
      <c r="B64">
        <f t="shared" si="6"/>
        <v>28.800000000000001</v>
      </c>
      <c r="E64">
        <f t="shared" si="7"/>
        <v>1.5264</v>
      </c>
      <c r="F64">
        <f t="shared" si="8"/>
        <v>1.5264</v>
      </c>
      <c r="G64">
        <f t="shared" si="9"/>
        <v>2.6287233782983521</v>
      </c>
      <c r="H64">
        <f t="shared" si="10"/>
        <v>2.6287233782983521</v>
      </c>
      <c r="I64">
        <f t="shared" si="11"/>
        <v>1.3255391321000829</v>
      </c>
      <c r="J64">
        <f t="shared" si="12"/>
        <v>2.944017763251598</v>
      </c>
      <c r="K64" s="6">
        <f t="shared" si="13"/>
        <v>0.18345600000000001</v>
      </c>
      <c r="N64" s="6">
        <f t="shared" si="14"/>
        <v>172.80000000000001</v>
      </c>
      <c r="O64" s="6">
        <f t="shared" si="15"/>
        <v>17.671985932566876</v>
      </c>
      <c r="P64" s="7">
        <f t="shared" si="16"/>
        <v>-139.88817288534139</v>
      </c>
      <c r="Q64" s="7"/>
      <c r="R64" s="7">
        <f t="shared" si="17"/>
        <v>2.1919956788005255</v>
      </c>
      <c r="S64" s="7">
        <f t="shared" si="18"/>
        <v>-7.4140731629230938</v>
      </c>
      <c r="T64" s="7">
        <f t="shared" si="19"/>
        <v>-7.4140731629230938</v>
      </c>
      <c r="U64" s="7">
        <f t="shared" si="20"/>
        <v>0.67001743883851295</v>
      </c>
      <c r="V64" s="7">
        <f t="shared" si="21"/>
        <v>0.67001743883851295</v>
      </c>
      <c r="W64" s="7">
        <f t="shared" si="22"/>
        <v>-7.591553684519619</v>
      </c>
      <c r="X64" s="7">
        <f t="shared" si="23"/>
        <v>7.6210636208662583</v>
      </c>
      <c r="Y64" s="7">
        <f t="shared" si="24"/>
        <v>0.14421526245292848</v>
      </c>
    </row>
    <row r="65" ht="14.25">
      <c r="A65">
        <v>95</v>
      </c>
      <c r="B65">
        <f t="shared" si="6"/>
        <v>28.5</v>
      </c>
      <c r="E65">
        <f t="shared" si="7"/>
        <v>1.5105</v>
      </c>
      <c r="F65">
        <f t="shared" si="8"/>
        <v>1.5105</v>
      </c>
      <c r="G65">
        <f t="shared" si="9"/>
        <v>2.6254593891949782</v>
      </c>
      <c r="H65">
        <f t="shared" si="10"/>
        <v>2.6254593891949782</v>
      </c>
      <c r="I65">
        <f t="shared" si="11"/>
        <v>1.3096391321000829</v>
      </c>
      <c r="J65">
        <f t="shared" si="12"/>
        <v>2.9339719938404194</v>
      </c>
      <c r="K65" s="6">
        <f t="shared" si="13"/>
        <v>0.18342</v>
      </c>
      <c r="N65" s="6">
        <f t="shared" si="14"/>
        <v>171</v>
      </c>
      <c r="O65" s="6">
        <f t="shared" si="15"/>
        <v>22.057259570672567</v>
      </c>
      <c r="P65" s="7">
        <f t="shared" si="16"/>
        <v>-139.26405602391441</v>
      </c>
      <c r="Q65" s="7"/>
      <c r="R65" s="7">
        <f t="shared" si="17"/>
        <v>2.4244151816201276</v>
      </c>
      <c r="S65" s="7">
        <f t="shared" si="18"/>
        <v>-7.380994969267463</v>
      </c>
      <c r="T65" s="7">
        <f t="shared" si="19"/>
        <v>-7.380994969267463</v>
      </c>
      <c r="U65" s="7">
        <f t="shared" si="20"/>
        <v>0.90922731044121341</v>
      </c>
      <c r="V65" s="7">
        <f t="shared" si="21"/>
        <v>0.90922731044121341</v>
      </c>
      <c r="W65" s="7">
        <f t="shared" si="22"/>
        <v>-7.602516984310415</v>
      </c>
      <c r="X65" s="7">
        <f t="shared" si="23"/>
        <v>7.6566937250212961</v>
      </c>
      <c r="Y65" s="7">
        <f t="shared" si="24"/>
        <v>0.18008463554054815</v>
      </c>
    </row>
    <row r="66" ht="14.25">
      <c r="A66">
        <v>94</v>
      </c>
      <c r="B66">
        <f t="shared" si="6"/>
        <v>28.199999999999999</v>
      </c>
      <c r="E66">
        <f t="shared" si="7"/>
        <v>1.4945999999999999</v>
      </c>
      <c r="F66">
        <f t="shared" si="8"/>
        <v>1.4945999999999999</v>
      </c>
      <c r="G66">
        <f t="shared" si="9"/>
        <v>2.6221954000916048</v>
      </c>
      <c r="H66">
        <f t="shared" si="10"/>
        <v>2.6221954000916048</v>
      </c>
      <c r="I66">
        <f t="shared" si="11"/>
        <v>1.2937391321000828</v>
      </c>
      <c r="J66">
        <f t="shared" si="12"/>
        <v>2.923981815639189</v>
      </c>
      <c r="K66" s="6">
        <f t="shared" si="13"/>
        <v>0.18338399999999999</v>
      </c>
      <c r="N66" s="6">
        <f t="shared" si="14"/>
        <v>169.19999999999999</v>
      </c>
      <c r="O66" s="6">
        <f t="shared" si="15"/>
        <v>26.420765356587228</v>
      </c>
      <c r="P66" s="7">
        <f t="shared" si="16"/>
        <v>-138.5025023527451</v>
      </c>
      <c r="Q66" s="7"/>
      <c r="R66" s="7">
        <f t="shared" si="17"/>
        <v>2.6556809882736045</v>
      </c>
      <c r="S66" s="7">
        <f t="shared" si="18"/>
        <v>-7.3406326246954903</v>
      </c>
      <c r="T66" s="7">
        <f t="shared" si="19"/>
        <v>-7.3406326246954903</v>
      </c>
      <c r="U66" s="7">
        <f t="shared" si="20"/>
        <v>1.1487787933757929</v>
      </c>
      <c r="V66" s="7">
        <f t="shared" si="21"/>
        <v>1.1487787933757929</v>
      </c>
      <c r="W66" s="7">
        <f t="shared" si="22"/>
        <v>-7.6059775177006985</v>
      </c>
      <c r="X66" s="7">
        <f t="shared" si="23"/>
        <v>7.692241982405287</v>
      </c>
      <c r="Y66" s="7">
        <f t="shared" si="24"/>
        <v>0.21583083551351279</v>
      </c>
    </row>
    <row r="67" ht="14.25">
      <c r="A67">
        <v>93</v>
      </c>
      <c r="B67">
        <f t="shared" si="6"/>
        <v>27.899999999999999</v>
      </c>
      <c r="E67">
        <f t="shared" si="7"/>
        <v>1.4786999999999999</v>
      </c>
      <c r="F67">
        <f t="shared" si="8"/>
        <v>1.4786999999999999</v>
      </c>
      <c r="G67">
        <f t="shared" si="9"/>
        <v>2.6189314109882309</v>
      </c>
      <c r="H67">
        <f t="shared" si="10"/>
        <v>2.6189314109882309</v>
      </c>
      <c r="I67">
        <f t="shared" si="11"/>
        <v>1.2778391321000828</v>
      </c>
      <c r="J67">
        <f t="shared" si="12"/>
        <v>2.9140478003950276</v>
      </c>
      <c r="K67" s="6">
        <f t="shared" si="13"/>
        <v>0.18334799999999998</v>
      </c>
      <c r="N67" s="6">
        <f t="shared" si="14"/>
        <v>167.40000000000001</v>
      </c>
      <c r="O67" s="6">
        <f t="shared" si="15"/>
        <v>30.758197036912467</v>
      </c>
      <c r="P67" s="7">
        <f t="shared" si="16"/>
        <v>-137.6042634333634</v>
      </c>
      <c r="Q67" s="7"/>
      <c r="R67" s="7">
        <f t="shared" si="17"/>
        <v>2.8855648673308423</v>
      </c>
      <c r="S67" s="7">
        <f t="shared" si="18"/>
        <v>-7.2930259619682598</v>
      </c>
      <c r="T67" s="7">
        <f t="shared" si="19"/>
        <v>-7.2930259619682598</v>
      </c>
      <c r="U67" s="7">
        <f t="shared" si="20"/>
        <v>1.3884354792499907</v>
      </c>
      <c r="V67" s="7">
        <f t="shared" si="21"/>
        <v>1.3884354792499907</v>
      </c>
      <c r="W67" s="7">
        <f t="shared" si="22"/>
        <v>-7.6019318695618043</v>
      </c>
      <c r="X67" s="7">
        <f t="shared" si="23"/>
        <v>7.7276853733507798</v>
      </c>
      <c r="Y67" s="7">
        <f t="shared" si="24"/>
        <v>0.25142901904539666</v>
      </c>
    </row>
    <row r="68" ht="14.25">
      <c r="A68">
        <v>92</v>
      </c>
      <c r="B68">
        <f t="shared" si="6"/>
        <v>27.600000000000001</v>
      </c>
      <c r="E68">
        <f t="shared" si="7"/>
        <v>1.4628000000000001</v>
      </c>
      <c r="F68">
        <f t="shared" si="8"/>
        <v>1.4628000000000001</v>
      </c>
      <c r="G68">
        <f t="shared" si="9"/>
        <v>2.6156674218848575</v>
      </c>
      <c r="H68">
        <f t="shared" si="10"/>
        <v>2.6156674218848575</v>
      </c>
      <c r="I68">
        <f t="shared" si="11"/>
        <v>1.261939132100083</v>
      </c>
      <c r="J68">
        <f t="shared" si="12"/>
        <v>2.904170524441581</v>
      </c>
      <c r="K68" s="6">
        <f t="shared" si="13"/>
        <v>0.183312</v>
      </c>
      <c r="N68" s="6">
        <f t="shared" si="14"/>
        <v>165.59999999999999</v>
      </c>
      <c r="O68" s="6">
        <f t="shared" si="15"/>
        <v>35.065274090244586</v>
      </c>
      <c r="P68" s="7">
        <f t="shared" si="16"/>
        <v>-136.57022571913697</v>
      </c>
      <c r="Q68" s="7"/>
      <c r="R68" s="7">
        <f t="shared" si="17"/>
        <v>3.1138399511574439</v>
      </c>
      <c r="S68" s="7">
        <f t="shared" si="18"/>
        <v>-7.2382219631142597</v>
      </c>
      <c r="T68" s="7">
        <f t="shared" si="19"/>
        <v>-7.2382219631142597</v>
      </c>
      <c r="U68" s="7">
        <f t="shared" si="20"/>
        <v>1.6279608558489671</v>
      </c>
      <c r="V68" s="7">
        <f t="shared" si="21"/>
        <v>1.6279608558489671</v>
      </c>
      <c r="W68" s="7">
        <f t="shared" si="22"/>
        <v>-7.59038403246001</v>
      </c>
      <c r="X68" s="7">
        <f t="shared" si="23"/>
        <v>7.7630011148009235</v>
      </c>
      <c r="Y68" s="7">
        <f t="shared" si="24"/>
        <v>0.28685423242775265</v>
      </c>
    </row>
    <row r="69" ht="14.25">
      <c r="A69">
        <v>91</v>
      </c>
      <c r="B69">
        <f t="shared" si="6"/>
        <v>27.300000000000001</v>
      </c>
      <c r="E69">
        <f t="shared" si="7"/>
        <v>1.4469000000000001</v>
      </c>
      <c r="F69">
        <f t="shared" si="8"/>
        <v>1.4469000000000001</v>
      </c>
      <c r="G69">
        <f t="shared" si="9"/>
        <v>2.612403432781484</v>
      </c>
      <c r="H69">
        <f t="shared" si="10"/>
        <v>2.612403432781484</v>
      </c>
      <c r="I69">
        <f t="shared" si="11"/>
        <v>1.246039132100083</v>
      </c>
      <c r="J69">
        <f t="shared" si="12"/>
        <v>2.894350568665311</v>
      </c>
      <c r="K69" s="6">
        <f t="shared" si="13"/>
        <v>0.18327599999999999</v>
      </c>
      <c r="N69" s="6">
        <f t="shared" si="14"/>
        <v>163.80000000000001</v>
      </c>
      <c r="O69" s="6">
        <f t="shared" si="15"/>
        <v>39.337745951531303</v>
      </c>
      <c r="P69" s="7">
        <f t="shared" si="16"/>
        <v>-135.40140968044898</v>
      </c>
      <c r="Q69" s="7"/>
      <c r="R69" s="7">
        <f t="shared" si="17"/>
        <v>3.3402809598056402</v>
      </c>
      <c r="S69" s="7">
        <f t="shared" si="18"/>
        <v>-7.1762747130637958</v>
      </c>
      <c r="T69" s="7">
        <f t="shared" si="19"/>
        <v>-7.1762747130637958</v>
      </c>
      <c r="U69" s="7">
        <f t="shared" si="20"/>
        <v>1.8671185405442499</v>
      </c>
      <c r="V69" s="7">
        <f t="shared" si="21"/>
        <v>1.8671185405442499</v>
      </c>
      <c r="W69" s="7">
        <f t="shared" si="22"/>
        <v>-7.5713454027163474</v>
      </c>
      <c r="X69" s="7">
        <f t="shared" si="23"/>
        <v>7.7981666340030245</v>
      </c>
      <c r="Y69" s="7">
        <f t="shared" si="24"/>
        <v>0.32208139603084951</v>
      </c>
    </row>
    <row r="70" ht="14.25">
      <c r="A70">
        <v>90</v>
      </c>
      <c r="B70">
        <f t="shared" si="6"/>
        <v>27</v>
      </c>
      <c r="E70">
        <f t="shared" si="7"/>
        <v>1.431</v>
      </c>
      <c r="F70">
        <f t="shared" si="8"/>
        <v>1.431</v>
      </c>
      <c r="G70">
        <f t="shared" si="9"/>
        <v>2.6091394436781101</v>
      </c>
      <c r="H70">
        <f t="shared" si="10"/>
        <v>2.6091394436781101</v>
      </c>
      <c r="I70">
        <f t="shared" si="11"/>
        <v>1.230139132100083</v>
      </c>
      <c r="J70">
        <f t="shared" si="12"/>
        <v>2.8845885184685982</v>
      </c>
      <c r="K70" s="6">
        <f t="shared" si="13"/>
        <v>0.18323999999999999</v>
      </c>
      <c r="N70" s="6">
        <f t="shared" si="14"/>
        <v>162</v>
      </c>
      <c r="O70" s="6">
        <f t="shared" si="15"/>
        <v>43.571396206867597</v>
      </c>
      <c r="P70" s="7">
        <f t="shared" si="16"/>
        <v>-134.09896879761664</v>
      </c>
      <c r="Q70" s="7"/>
      <c r="R70" s="7">
        <f t="shared" si="17"/>
        <v>3.5646644233384635</v>
      </c>
      <c r="S70" s="7">
        <f t="shared" si="18"/>
        <v>-7.1072453462736815</v>
      </c>
      <c r="T70" s="7">
        <f t="shared" si="19"/>
        <v>-7.1072453462736815</v>
      </c>
      <c r="U70" s="7">
        <f t="shared" si="20"/>
        <v>2.105672513574917</v>
      </c>
      <c r="V70" s="7">
        <f t="shared" si="21"/>
        <v>2.105672513574917</v>
      </c>
      <c r="W70" s="7">
        <f t="shared" si="22"/>
        <v>-7.5448347691598103</v>
      </c>
      <c r="X70" s="7">
        <f t="shared" si="23"/>
        <v>7.8331595431439842</v>
      </c>
      <c r="Y70" s="7">
        <f t="shared" si="24"/>
        <v>0.35708529005932849</v>
      </c>
    </row>
    <row r="71" ht="14.25">
      <c r="A71">
        <v>89</v>
      </c>
      <c r="B71">
        <f t="shared" si="6"/>
        <v>26.699999999999999</v>
      </c>
      <c r="E71">
        <f t="shared" si="7"/>
        <v>1.4151</v>
      </c>
      <c r="F71">
        <f t="shared" si="8"/>
        <v>1.4151</v>
      </c>
      <c r="G71">
        <f t="shared" si="9"/>
        <v>2.6058754545747367</v>
      </c>
      <c r="H71">
        <f t="shared" si="10"/>
        <v>2.6058754545747367</v>
      </c>
      <c r="I71">
        <f t="shared" si="11"/>
        <v>1.2142391321000829</v>
      </c>
      <c r="J71">
        <f t="shared" si="12"/>
        <v>2.8748849637295497</v>
      </c>
      <c r="K71" s="6">
        <f t="shared" si="13"/>
        <v>0.18320399999999998</v>
      </c>
      <c r="N71" s="6">
        <f t="shared" si="14"/>
        <v>160.19999999999999</v>
      </c>
      <c r="O71" s="6">
        <f t="shared" si="15"/>
        <v>47.762046754586137</v>
      </c>
      <c r="P71" s="7">
        <f t="shared" si="16"/>
        <v>-132.66418842254578</v>
      </c>
      <c r="Q71" s="7"/>
      <c r="R71" s="7">
        <f t="shared" si="17"/>
        <v>3.7867689023675464</v>
      </c>
      <c r="S71" s="7">
        <f t="shared" si="18"/>
        <v>-7.031201986394926</v>
      </c>
      <c r="T71" s="7">
        <f t="shared" si="19"/>
        <v>-7.031201986394926</v>
      </c>
      <c r="U71" s="7">
        <f t="shared" si="20"/>
        <v>2.3433873509705521</v>
      </c>
      <c r="V71" s="7">
        <f t="shared" si="21"/>
        <v>2.3433873509705521</v>
      </c>
      <c r="W71" s="7">
        <f t="shared" si="22"/>
        <v>-7.510878294585055</v>
      </c>
      <c r="X71" s="7">
        <f t="shared" si="23"/>
        <v>7.8679576150839603</v>
      </c>
      <c r="Y71" s="7">
        <f t="shared" si="24"/>
        <v>0.39184054177069416</v>
      </c>
    </row>
    <row r="72" ht="14.25">
      <c r="A72">
        <v>88</v>
      </c>
      <c r="B72">
        <f t="shared" si="6"/>
        <v>26.399999999999999</v>
      </c>
      <c r="E72">
        <f t="shared" si="7"/>
        <v>1.3991999999999998</v>
      </c>
      <c r="F72">
        <f t="shared" si="8"/>
        <v>1.3991999999999998</v>
      </c>
      <c r="G72">
        <f t="shared" si="9"/>
        <v>2.6026114654713628</v>
      </c>
      <c r="H72">
        <f t="shared" si="10"/>
        <v>2.6026114654713628</v>
      </c>
      <c r="I72">
        <f t="shared" si="11"/>
        <v>1.1983391321000827</v>
      </c>
      <c r="J72">
        <f t="shared" si="12"/>
        <v>2.8652404987584155</v>
      </c>
      <c r="K72" s="6">
        <f t="shared" si="13"/>
        <v>0.183168</v>
      </c>
      <c r="N72" s="6">
        <f t="shared" si="14"/>
        <v>158.40000000000001</v>
      </c>
      <c r="O72" s="6">
        <f t="shared" si="15"/>
        <v>51.905561928539619</v>
      </c>
      <c r="P72" s="7">
        <f t="shared" si="16"/>
        <v>-131.09848451024345</v>
      </c>
      <c r="Q72" s="7"/>
      <c r="R72" s="7">
        <f t="shared" si="17"/>
        <v>4.006375206587081</v>
      </c>
      <c r="S72" s="7">
        <f t="shared" si="18"/>
        <v>-6.9482196790429027</v>
      </c>
      <c r="T72" s="7">
        <f t="shared" si="19"/>
        <v>-6.9482196790429027</v>
      </c>
      <c r="U72" s="7">
        <f t="shared" si="20"/>
        <v>2.5800284568863008</v>
      </c>
      <c r="V72" s="7">
        <f t="shared" si="21"/>
        <v>2.5800284568863008</v>
      </c>
      <c r="W72" s="7">
        <f t="shared" si="22"/>
        <v>-7.4695094899328707</v>
      </c>
      <c r="X72" s="7">
        <f t="shared" si="23"/>
        <v>7.902538760331411</v>
      </c>
      <c r="Y72" s="7">
        <f t="shared" si="24"/>
        <v>0.4263216143179519</v>
      </c>
    </row>
    <row r="73" ht="14.25">
      <c r="A73">
        <v>87</v>
      </c>
      <c r="B73">
        <f t="shared" si="6"/>
        <v>26.100000000000001</v>
      </c>
      <c r="E73">
        <f t="shared" si="7"/>
        <v>1.3833</v>
      </c>
      <c r="F73">
        <f t="shared" si="8"/>
        <v>1.3833</v>
      </c>
      <c r="G73">
        <f t="shared" si="9"/>
        <v>2.5993474763679894</v>
      </c>
      <c r="H73">
        <f t="shared" si="10"/>
        <v>2.5993474763679894</v>
      </c>
      <c r="I73">
        <f t="shared" si="11"/>
        <v>1.1824391321000829</v>
      </c>
      <c r="J73">
        <f t="shared" si="12"/>
        <v>2.8556557222505363</v>
      </c>
      <c r="K73" s="6">
        <f t="shared" si="13"/>
        <v>0.18313199999999999</v>
      </c>
      <c r="N73" s="6">
        <f t="shared" si="14"/>
        <v>156.59999999999999</v>
      </c>
      <c r="O73" s="6">
        <f t="shared" si="15"/>
        <v>55.99785257950407</v>
      </c>
      <c r="P73" s="7">
        <f t="shared" si="16"/>
        <v>-129.40340222144135</v>
      </c>
      <c r="Q73" s="7"/>
      <c r="R73" s="7">
        <f t="shared" si="17"/>
        <v>4.2232666110881967</v>
      </c>
      <c r="S73" s="7">
        <f t="shared" si="18"/>
        <v>-6.8583803177363913</v>
      </c>
      <c r="T73" s="7">
        <f t="shared" si="19"/>
        <v>-6.8583803177363913</v>
      </c>
      <c r="U73" s="7">
        <f t="shared" si="20"/>
        <v>2.8153622951206558</v>
      </c>
      <c r="V73" s="7">
        <f t="shared" si="21"/>
        <v>2.8153622951206558</v>
      </c>
      <c r="W73" s="7">
        <f t="shared" si="22"/>
        <v>-7.4207691812189314</v>
      </c>
      <c r="X73" s="7">
        <f t="shared" si="23"/>
        <v>7.9368810053896954</v>
      </c>
      <c r="Y73" s="7">
        <f t="shared" si="24"/>
        <v>0.46050279737024147</v>
      </c>
    </row>
    <row r="74" ht="14.25">
      <c r="A74">
        <v>86</v>
      </c>
      <c r="B74">
        <f t="shared" si="6"/>
        <v>25.800000000000001</v>
      </c>
      <c r="E74">
        <f t="shared" si="7"/>
        <v>1.3673999999999999</v>
      </c>
      <c r="F74">
        <f t="shared" si="8"/>
        <v>1.3673999999999999</v>
      </c>
      <c r="G74">
        <f t="shared" si="9"/>
        <v>2.5960834872646155</v>
      </c>
      <c r="H74">
        <f t="shared" si="10"/>
        <v>2.5960834872646155</v>
      </c>
      <c r="I74">
        <f t="shared" si="11"/>
        <v>1.1665391321000829</v>
      </c>
      <c r="J74">
        <f t="shared" si="12"/>
        <v>2.8461312372357006</v>
      </c>
      <c r="K74" s="6">
        <f t="shared" si="13"/>
        <v>0.18309599999999998</v>
      </c>
      <c r="N74" s="6">
        <f t="shared" si="14"/>
        <v>154.80000000000001</v>
      </c>
      <c r="O74" s="6">
        <f t="shared" si="15"/>
        <v>60.034880110675225</v>
      </c>
      <c r="P74" s="7">
        <f t="shared" si="16"/>
        <v>-127.58061439770876</v>
      </c>
      <c r="Q74" s="7"/>
      <c r="R74" s="7">
        <f t="shared" si="17"/>
        <v>4.4372290702402681</v>
      </c>
      <c r="S74" s="7">
        <f t="shared" si="18"/>
        <v>-6.7617725630785639</v>
      </c>
      <c r="T74" s="7">
        <f t="shared" si="19"/>
        <v>-6.7617725630785639</v>
      </c>
      <c r="U74" s="7">
        <f t="shared" si="20"/>
        <v>3.0491566195874782</v>
      </c>
      <c r="V74" s="7">
        <f t="shared" si="21"/>
        <v>3.0491566195874782</v>
      </c>
      <c r="W74" s="7">
        <f t="shared" si="22"/>
        <v>-7.3647054692434484</v>
      </c>
      <c r="X74" s="7">
        <f t="shared" si="23"/>
        <v>7.970962472592535</v>
      </c>
      <c r="Y74" s="7">
        <f t="shared" si="24"/>
        <v>0.49435819965720063</v>
      </c>
    </row>
    <row r="75" ht="14.25">
      <c r="A75">
        <v>85</v>
      </c>
      <c r="B75">
        <f t="shared" si="6"/>
        <v>25.5</v>
      </c>
      <c r="E75">
        <f t="shared" si="7"/>
        <v>1.3514999999999999</v>
      </c>
      <c r="F75">
        <f t="shared" si="8"/>
        <v>1.3514999999999999</v>
      </c>
      <c r="G75">
        <f t="shared" si="9"/>
        <v>2.592819498161242</v>
      </c>
      <c r="H75">
        <f t="shared" si="10"/>
        <v>2.592819498161242</v>
      </c>
      <c r="I75">
        <f t="shared" si="11"/>
        <v>1.1506391321000828</v>
      </c>
      <c r="J75">
        <f t="shared" si="12"/>
        <v>2.8366676510238467</v>
      </c>
      <c r="K75" s="6">
        <f t="shared" si="13"/>
        <v>0.18306</v>
      </c>
      <c r="N75" s="6">
        <f t="shared" si="14"/>
        <v>153</v>
      </c>
      <c r="O75" s="6">
        <f t="shared" si="15"/>
        <v>64.012660463276106</v>
      </c>
      <c r="P75" s="7">
        <f t="shared" si="16"/>
        <v>-125.63191991055986</v>
      </c>
      <c r="Q75" s="7"/>
      <c r="R75" s="7">
        <f t="shared" si="17"/>
        <v>4.648051428928115</v>
      </c>
      <c r="S75" s="7">
        <f t="shared" si="18"/>
        <v>-6.6584917552596723</v>
      </c>
      <c r="T75" s="7">
        <f t="shared" si="19"/>
        <v>-6.6584917552596723</v>
      </c>
      <c r="U75" s="7">
        <f t="shared" si="20"/>
        <v>3.281180703514853</v>
      </c>
      <c r="V75" s="7">
        <f t="shared" si="21"/>
        <v>3.281180703514853</v>
      </c>
      <c r="W75" s="7">
        <f t="shared" si="22"/>
        <v>-7.3013736821214898</v>
      </c>
      <c r="X75" s="7">
        <f t="shared" si="23"/>
        <v>8.0047613615331805</v>
      </c>
      <c r="Y75" s="7">
        <f t="shared" si="24"/>
        <v>0.52786174357398008</v>
      </c>
    </row>
    <row r="76" ht="14.25">
      <c r="A76">
        <v>84</v>
      </c>
      <c r="B76">
        <f t="shared" si="6"/>
        <v>25.199999999999999</v>
      </c>
      <c r="E76">
        <f t="shared" si="7"/>
        <v>1.3355999999999999</v>
      </c>
      <c r="F76">
        <f t="shared" si="8"/>
        <v>1.3355999999999999</v>
      </c>
      <c r="G76">
        <f t="shared" si="9"/>
        <v>2.5895555090578681</v>
      </c>
      <c r="H76">
        <f t="shared" si="10"/>
        <v>2.5895555090578681</v>
      </c>
      <c r="I76">
        <f t="shared" si="11"/>
        <v>1.1347391321000828</v>
      </c>
      <c r="J76">
        <f t="shared" si="12"/>
        <v>2.8272655751469835</v>
      </c>
      <c r="K76" s="6">
        <f t="shared" si="13"/>
        <v>0.18302399999999999</v>
      </c>
      <c r="N76" s="6">
        <f t="shared" si="14"/>
        <v>151.19999999999999</v>
      </c>
      <c r="O76" s="6">
        <f t="shared" si="15"/>
        <v>67.927268048341901</v>
      </c>
      <c r="P76" s="7">
        <f t="shared" si="16"/>
        <v>-123.55924188618475</v>
      </c>
      <c r="Q76" s="7"/>
      <c r="R76" s="7">
        <f t="shared" si="17"/>
        <v>4.8555256309366017</v>
      </c>
      <c r="S76" s="7">
        <f t="shared" si="18"/>
        <v>-6.548639819967792</v>
      </c>
      <c r="T76" s="7">
        <f t="shared" si="19"/>
        <v>-6.548639819967792</v>
      </c>
      <c r="U76" s="7">
        <f t="shared" si="20"/>
        <v>3.5112055671445477</v>
      </c>
      <c r="V76" s="7">
        <f t="shared" si="21"/>
        <v>3.5112055671445477</v>
      </c>
      <c r="W76" s="7">
        <f t="shared" si="22"/>
        <v>-7.2308363206808046</v>
      </c>
      <c r="X76" s="7">
        <f t="shared" si="23"/>
        <v>8.0382559321797906</v>
      </c>
      <c r="Y76" s="7">
        <f t="shared" si="24"/>
        <v>0.56098716197436049</v>
      </c>
    </row>
    <row r="77" ht="14.25">
      <c r="A77">
        <v>83</v>
      </c>
      <c r="B77">
        <f t="shared" si="6"/>
        <v>24.899999999999999</v>
      </c>
      <c r="E77">
        <f t="shared" si="7"/>
        <v>1.3196999999999999</v>
      </c>
      <c r="F77">
        <f t="shared" si="8"/>
        <v>1.3196999999999999</v>
      </c>
      <c r="G77">
        <f t="shared" si="9"/>
        <v>2.5862915199544947</v>
      </c>
      <c r="H77">
        <f t="shared" si="10"/>
        <v>2.5862915199544947</v>
      </c>
      <c r="I77">
        <f t="shared" si="11"/>
        <v>1.1188391321000828</v>
      </c>
      <c r="J77">
        <f t="shared" si="12"/>
        <v>2.817925625297268</v>
      </c>
      <c r="K77" s="6">
        <f t="shared" si="13"/>
        <v>0.18298799999999998</v>
      </c>
      <c r="N77" s="6">
        <f t="shared" si="14"/>
        <v>149.40000000000001</v>
      </c>
      <c r="O77" s="6">
        <f t="shared" si="15"/>
        <v>71.774839620802325</v>
      </c>
      <c r="P77" s="7">
        <f t="shared" si="16"/>
        <v>-121.36462580755607</v>
      </c>
      <c r="Q77" s="7"/>
      <c r="R77" s="7">
        <f t="shared" si="17"/>
        <v>5.0594469242770046</v>
      </c>
      <c r="S77" s="7">
        <f t="shared" si="18"/>
        <v>-6.4323251678004709</v>
      </c>
      <c r="T77" s="7">
        <f t="shared" si="19"/>
        <v>-6.4323251678004709</v>
      </c>
      <c r="U77" s="7">
        <f t="shared" si="20"/>
        <v>3.7390042037073927</v>
      </c>
      <c r="V77" s="7">
        <f t="shared" si="21"/>
        <v>3.7390042037073927</v>
      </c>
      <c r="W77" s="7">
        <f t="shared" si="22"/>
        <v>-7.1531629967810559</v>
      </c>
      <c r="X77" s="7">
        <f t="shared" si="23"/>
        <v>8.0714244897576357</v>
      </c>
      <c r="Y77" s="7">
        <f t="shared" si="24"/>
        <v>0.59370799726936485</v>
      </c>
    </row>
    <row r="78" ht="14.25">
      <c r="A78">
        <v>82</v>
      </c>
      <c r="B78">
        <f t="shared" si="6"/>
        <v>24.600000000000001</v>
      </c>
      <c r="E78">
        <f t="shared" si="7"/>
        <v>1.3038000000000001</v>
      </c>
      <c r="F78">
        <f t="shared" si="8"/>
        <v>1.3038000000000001</v>
      </c>
      <c r="G78">
        <f t="shared" si="9"/>
        <v>2.5830275308511208</v>
      </c>
      <c r="H78">
        <f t="shared" si="10"/>
        <v>2.5830275308511208</v>
      </c>
      <c r="I78">
        <f t="shared" si="11"/>
        <v>1.102939132100083</v>
      </c>
      <c r="J78">
        <f t="shared" si="12"/>
        <v>2.8086484212611094</v>
      </c>
      <c r="K78" s="6">
        <f t="shared" si="13"/>
        <v>0.182952</v>
      </c>
      <c r="N78" s="6">
        <f t="shared" si="14"/>
        <v>147.59999999999999</v>
      </c>
      <c r="O78" s="6">
        <f t="shared" si="15"/>
        <v>75.551578092038582</v>
      </c>
      <c r="P78" s="7">
        <f t="shared" si="16"/>
        <v>-119.05023749578409</v>
      </c>
      <c r="Q78" s="7"/>
      <c r="R78" s="7">
        <f t="shared" si="17"/>
        <v>5.2596140632525259</v>
      </c>
      <c r="S78" s="7">
        <f t="shared" si="18"/>
        <v>-6.3096625872765566</v>
      </c>
      <c r="T78" s="7">
        <f t="shared" si="19"/>
        <v>-6.3096625872765566</v>
      </c>
      <c r="U78" s="7">
        <f t="shared" si="20"/>
        <v>3.9643518034515774</v>
      </c>
      <c r="V78" s="7">
        <f t="shared" si="21"/>
        <v>3.9643518034515774</v>
      </c>
      <c r="W78" s="7">
        <f t="shared" si="22"/>
        <v>-7.0684303646153177</v>
      </c>
      <c r="X78" s="7">
        <f t="shared" si="23"/>
        <v>8.1042453714670817</v>
      </c>
      <c r="Y78" s="7">
        <f t="shared" si="24"/>
        <v>0.62599760293811646</v>
      </c>
    </row>
    <row r="79" ht="14.25">
      <c r="A79">
        <v>81</v>
      </c>
      <c r="B79">
        <f t="shared" si="6"/>
        <v>24.300000000000001</v>
      </c>
      <c r="E79">
        <f t="shared" si="7"/>
        <v>1.2879</v>
      </c>
      <c r="F79">
        <f t="shared" si="8"/>
        <v>1.2879</v>
      </c>
      <c r="G79">
        <f t="shared" si="9"/>
        <v>2.5797635417477474</v>
      </c>
      <c r="H79">
        <f t="shared" si="10"/>
        <v>2.5797635417477474</v>
      </c>
      <c r="I79">
        <f t="shared" si="11"/>
        <v>1.087039132100083</v>
      </c>
      <c r="J79">
        <f t="shared" si="12"/>
        <v>2.7994345868492414</v>
      </c>
      <c r="K79" s="6">
        <f t="shared" si="13"/>
        <v>0.182916</v>
      </c>
      <c r="N79" s="6">
        <f t="shared" si="14"/>
        <v>145.80000000000001</v>
      </c>
      <c r="O79" s="6">
        <f t="shared" si="15"/>
        <v>79.253756277150401</v>
      </c>
      <c r="P79" s="7">
        <f t="shared" si="16"/>
        <v>-116.61836097271323</v>
      </c>
      <c r="Q79" s="7"/>
      <c r="R79" s="7">
        <f t="shared" si="17"/>
        <v>5.4558295070634522</v>
      </c>
      <c r="S79" s="7">
        <f t="shared" si="18"/>
        <v>-6.180773131553801</v>
      </c>
      <c r="T79" s="7">
        <f t="shared" si="19"/>
        <v>-6.180773131553801</v>
      </c>
      <c r="U79" s="7">
        <f t="shared" si="20"/>
        <v>4.1870259755026815</v>
      </c>
      <c r="V79" s="7">
        <f t="shared" si="21"/>
        <v>4.1870259755026815</v>
      </c>
      <c r="W79" s="7">
        <f t="shared" si="22"/>
        <v>-6.9767220450616474</v>
      </c>
      <c r="X79" s="7">
        <f t="shared" si="23"/>
        <v>8.136696935094939</v>
      </c>
      <c r="Y79" s="7">
        <f t="shared" si="24"/>
        <v>0.65782914754652078</v>
      </c>
    </row>
    <row r="80" ht="14.25">
      <c r="A80">
        <v>80</v>
      </c>
      <c r="B80">
        <f t="shared" si="6"/>
        <v>24</v>
      </c>
      <c r="E80">
        <f t="shared" si="7"/>
        <v>1.272</v>
      </c>
      <c r="F80">
        <f t="shared" si="8"/>
        <v>1.272</v>
      </c>
      <c r="G80">
        <f t="shared" si="9"/>
        <v>2.5764995526443735</v>
      </c>
      <c r="H80">
        <f t="shared" si="10"/>
        <v>2.5764995526443735</v>
      </c>
      <c r="I80">
        <f t="shared" si="11"/>
        <v>1.0711391321000829</v>
      </c>
      <c r="J80">
        <f t="shared" si="12"/>
        <v>2.7902847498226371</v>
      </c>
      <c r="K80" s="6">
        <f t="shared" si="13"/>
        <v>0.18287999999999999</v>
      </c>
      <c r="N80" s="6">
        <f t="shared" si="14"/>
        <v>144</v>
      </c>
      <c r="O80" s="6">
        <f t="shared" si="15"/>
        <v>82.877720573238733</v>
      </c>
      <c r="P80" s="7">
        <f t="shared" si="16"/>
        <v>-114.07139620686758</v>
      </c>
      <c r="Q80" s="7"/>
      <c r="R80" s="7">
        <f t="shared" si="17"/>
        <v>5.6478996147561338</v>
      </c>
      <c r="S80" s="7">
        <f t="shared" si="18"/>
        <v>-6.045783998963981</v>
      </c>
      <c r="T80" s="7">
        <f t="shared" si="19"/>
        <v>-6.045783998963981</v>
      </c>
      <c r="U80" s="7">
        <f t="shared" si="20"/>
        <v>4.4068069673366868</v>
      </c>
      <c r="V80" s="7">
        <f t="shared" si="21"/>
        <v>4.4068069673366868</v>
      </c>
      <c r="W80" s="7">
        <f t="shared" si="22"/>
        <v>-6.8781285431593577</v>
      </c>
      <c r="X80" s="7">
        <f t="shared" si="23"/>
        <v>8.1687575495659459</v>
      </c>
      <c r="Y80" s="7">
        <f t="shared" si="24"/>
        <v>0.68917562135775678</v>
      </c>
    </row>
    <row r="81" ht="14.25">
      <c r="A81">
        <v>79</v>
      </c>
      <c r="B81">
        <f t="shared" si="6"/>
        <v>23.699999999999999</v>
      </c>
      <c r="E81">
        <f t="shared" si="7"/>
        <v>1.2561</v>
      </c>
      <c r="F81">
        <f t="shared" si="8"/>
        <v>1.2561</v>
      </c>
      <c r="G81">
        <f t="shared" si="9"/>
        <v>2.573235563541</v>
      </c>
      <c r="H81">
        <f t="shared" si="10"/>
        <v>2.573235563541</v>
      </c>
      <c r="I81">
        <f t="shared" si="11"/>
        <v>1.0552391321000829</v>
      </c>
      <c r="J81">
        <f t="shared" si="12"/>
        <v>2.7811995418141979</v>
      </c>
      <c r="K81" s="6">
        <f t="shared" si="13"/>
        <v>0.18284399999999998</v>
      </c>
      <c r="N81" s="6">
        <f t="shared" si="14"/>
        <v>142.19999999999999</v>
      </c>
      <c r="O81" s="6">
        <f t="shared" si="15"/>
        <v>86.419894565069725</v>
      </c>
      <c r="P81" s="7">
        <f t="shared" si="16"/>
        <v>-111.41185674497231</v>
      </c>
      <c r="Q81" s="7"/>
      <c r="R81" s="7">
        <f t="shared" si="17"/>
        <v>5.8356348363231767</v>
      </c>
      <c r="S81" s="7">
        <f t="shared" si="18"/>
        <v>-5.9048284074835324</v>
      </c>
      <c r="T81" s="7">
        <f t="shared" si="19"/>
        <v>-5.9048284074835324</v>
      </c>
      <c r="U81" s="7">
        <f t="shared" si="20"/>
        <v>4.6234778816491238</v>
      </c>
      <c r="V81" s="7">
        <f t="shared" si="21"/>
        <v>4.6234778816491238</v>
      </c>
      <c r="W81" s="7">
        <f t="shared" si="22"/>
        <v>-6.7727471587914936</v>
      </c>
      <c r="X81" s="7">
        <f t="shared" si="23"/>
        <v>8.2004055874704704</v>
      </c>
      <c r="Y81" s="7">
        <f t="shared" si="24"/>
        <v>0.72000984560643266</v>
      </c>
    </row>
    <row r="82" ht="14.25">
      <c r="A82">
        <v>78</v>
      </c>
      <c r="B82">
        <f t="shared" si="6"/>
        <v>23.399999999999999</v>
      </c>
      <c r="E82">
        <f t="shared" si="7"/>
        <v>1.2402</v>
      </c>
      <c r="F82">
        <f t="shared" si="8"/>
        <v>1.2402</v>
      </c>
      <c r="G82">
        <f t="shared" si="9"/>
        <v>2.5699715744376261</v>
      </c>
      <c r="H82">
        <f t="shared" si="10"/>
        <v>2.5699715744376261</v>
      </c>
      <c r="I82">
        <f t="shared" si="11"/>
        <v>1.0393391321000829</v>
      </c>
      <c r="J82">
        <f t="shared" si="12"/>
        <v>2.7721795982461099</v>
      </c>
      <c r="K82" s="6">
        <f t="shared" si="13"/>
        <v>0.182808</v>
      </c>
      <c r="N82" s="6">
        <f t="shared" si="14"/>
        <v>140.40000000000001</v>
      </c>
      <c r="O82" s="6">
        <f t="shared" si="15"/>
        <v>89.876782554565267</v>
      </c>
      <c r="P82" s="7">
        <f t="shared" si="16"/>
        <v>-108.64236723138627</v>
      </c>
      <c r="Q82" s="7"/>
      <c r="R82" s="7">
        <f t="shared" si="17"/>
        <v>6.0188498997664404</v>
      </c>
      <c r="S82" s="7">
        <f t="shared" si="18"/>
        <v>-5.7580454632634721</v>
      </c>
      <c r="T82" s="7">
        <f t="shared" si="19"/>
        <v>-5.7580454632634721</v>
      </c>
      <c r="U82" s="7">
        <f t="shared" si="20"/>
        <v>4.8368248904065627</v>
      </c>
      <c r="V82" s="7">
        <f t="shared" si="21"/>
        <v>4.8368248904065627</v>
      </c>
      <c r="W82" s="7">
        <f t="shared" si="22"/>
        <v>-6.6606818906615768</v>
      </c>
      <c r="X82" s="7">
        <f t="shared" si="23"/>
        <v>8.2316194195943932</v>
      </c>
      <c r="Y82" s="7">
        <f t="shared" si="24"/>
        <v>0.75030448449587628</v>
      </c>
    </row>
    <row r="83" ht="14.25">
      <c r="A83">
        <v>77</v>
      </c>
      <c r="B83">
        <f t="shared" si="6"/>
        <v>23.100000000000001</v>
      </c>
      <c r="E83">
        <f t="shared" si="7"/>
        <v>1.2242999999999999</v>
      </c>
      <c r="F83">
        <f t="shared" si="8"/>
        <v>1.2242999999999999</v>
      </c>
      <c r="G83">
        <f t="shared" si="9"/>
        <v>2.5667075853342527</v>
      </c>
      <c r="H83">
        <f t="shared" si="10"/>
        <v>2.5667075853342527</v>
      </c>
      <c r="I83">
        <f t="shared" si="11"/>
        <v>1.0234391321000829</v>
      </c>
      <c r="J83">
        <f t="shared" si="12"/>
        <v>2.7632255582427869</v>
      </c>
      <c r="K83" s="6">
        <f t="shared" si="13"/>
        <v>0.18277199999999999</v>
      </c>
      <c r="N83" s="6">
        <f t="shared" si="14"/>
        <v>138.59999999999999</v>
      </c>
      <c r="O83" s="6">
        <f t="shared" si="15"/>
        <v>93.244973010634908</v>
      </c>
      <c r="P83" s="7">
        <f t="shared" si="16"/>
        <v>-105.76566081789478</v>
      </c>
      <c r="Q83" s="7"/>
      <c r="R83" s="7">
        <f t="shared" si="17"/>
        <v>6.1973639939381311</v>
      </c>
      <c r="S83" s="7">
        <f t="shared" si="18"/>
        <v>-5.6055800233484234</v>
      </c>
      <c r="T83" s="7">
        <f t="shared" si="19"/>
        <v>-5.6055800233484234</v>
      </c>
      <c r="U83" s="7">
        <f t="shared" si="20"/>
        <v>5.0466374458690577</v>
      </c>
      <c r="V83" s="7">
        <f t="shared" si="21"/>
        <v>5.0466374458690577</v>
      </c>
      <c r="W83" s="7">
        <f t="shared" si="22"/>
        <v>-6.5420433336594463</v>
      </c>
      <c r="X83" s="7">
        <f t="shared" si="23"/>
        <v>8.2623774114673409</v>
      </c>
      <c r="Y83" s="7">
        <f t="shared" si="24"/>
        <v>0.78003205996521485</v>
      </c>
    </row>
    <row r="84" ht="14.25">
      <c r="A84">
        <v>76</v>
      </c>
      <c r="B84">
        <f t="shared" si="6"/>
        <v>22.800000000000001</v>
      </c>
      <c r="E84">
        <f t="shared" si="7"/>
        <v>1.2083999999999999</v>
      </c>
      <c r="F84">
        <f t="shared" si="8"/>
        <v>1.2083999999999999</v>
      </c>
      <c r="G84">
        <f t="shared" si="9"/>
        <v>2.5634435962308793</v>
      </c>
      <c r="H84">
        <f t="shared" si="10"/>
        <v>2.5634435962308793</v>
      </c>
      <c r="I84">
        <f t="shared" si="11"/>
        <v>1.0075391321000828</v>
      </c>
      <c r="J84">
        <f t="shared" si="12"/>
        <v>2.754338064539299</v>
      </c>
      <c r="K84" s="6">
        <f t="shared" si="13"/>
        <v>0.18273599999999998</v>
      </c>
      <c r="N84" s="6">
        <f t="shared" si="14"/>
        <v>136.80000000000001</v>
      </c>
      <c r="O84" s="6">
        <f t="shared" si="15"/>
        <v>96.521141935945124</v>
      </c>
      <c r="P84" s="7">
        <f t="shared" si="16"/>
        <v>-102.784576466419</v>
      </c>
      <c r="Q84" s="7"/>
      <c r="R84" s="7">
        <f t="shared" si="17"/>
        <v>6.3710009469795725</v>
      </c>
      <c r="S84" s="7">
        <f t="shared" si="18"/>
        <v>-5.4475825527202071</v>
      </c>
      <c r="T84" s="7">
        <f t="shared" si="19"/>
        <v>-5.4475825527202071</v>
      </c>
      <c r="U84" s="7">
        <f t="shared" si="20"/>
        <v>5.2527084883753474</v>
      </c>
      <c r="V84" s="7">
        <f t="shared" si="21"/>
        <v>5.2527084883753474</v>
      </c>
      <c r="W84" s="7">
        <f t="shared" si="22"/>
        <v>-6.4169485697174578</v>
      </c>
      <c r="X84" s="7">
        <f t="shared" si="23"/>
        <v>8.2926579219360885</v>
      </c>
      <c r="Y84" s="7">
        <f t="shared" si="24"/>
        <v>0.80916496925985881</v>
      </c>
    </row>
    <row r="85" ht="14.25">
      <c r="A85">
        <v>75</v>
      </c>
      <c r="B85">
        <f t="shared" si="6"/>
        <v>22.5</v>
      </c>
      <c r="E85">
        <f t="shared" si="7"/>
        <v>1.1924999999999999</v>
      </c>
      <c r="F85">
        <f t="shared" si="8"/>
        <v>1.1924999999999999</v>
      </c>
      <c r="G85">
        <f t="shared" si="9"/>
        <v>2.5601796071275054</v>
      </c>
      <c r="H85">
        <f t="shared" si="10"/>
        <v>2.5601796071275054</v>
      </c>
      <c r="I85">
        <f t="shared" si="11"/>
        <v>0.99163913210008292</v>
      </c>
      <c r="J85">
        <f t="shared" si="12"/>
        <v>2.745517763385215</v>
      </c>
      <c r="K85" s="6">
        <f t="shared" si="13"/>
        <v>0.18269999999999997</v>
      </c>
      <c r="N85" s="6">
        <f t="shared" si="14"/>
        <v>135</v>
      </c>
      <c r="O85" s="6">
        <f t="shared" si="15"/>
        <v>99.70205614730321</v>
      </c>
      <c r="P85" s="7">
        <f t="shared" si="16"/>
        <v>-99.702056147303196</v>
      </c>
      <c r="Q85" s="7"/>
      <c r="R85" s="7">
        <f t="shared" si="17"/>
        <v>6.5395894001815513</v>
      </c>
      <c r="S85" s="7">
        <f t="shared" si="18"/>
        <v>-5.2842089758070694</v>
      </c>
      <c r="T85" s="7">
        <f t="shared" si="19"/>
        <v>-5.2842089758070694</v>
      </c>
      <c r="U85" s="7">
        <f t="shared" si="20"/>
        <v>5.4548346506857328</v>
      </c>
      <c r="V85" s="7">
        <f t="shared" si="21"/>
        <v>5.4548346506857328</v>
      </c>
      <c r="W85" s="7">
        <f t="shared" si="22"/>
        <v>-6.2855210522647482</v>
      </c>
      <c r="X85" s="7">
        <f t="shared" si="23"/>
        <v>8.3224393037609534</v>
      </c>
      <c r="Y85" s="7">
        <f t="shared" si="24"/>
        <v>0.83767550532572899</v>
      </c>
    </row>
    <row r="86" ht="14.25">
      <c r="A86">
        <v>74</v>
      </c>
      <c r="B86">
        <f t="shared" si="6"/>
        <v>22.199999999999999</v>
      </c>
      <c r="E86">
        <f t="shared" si="7"/>
        <v>1.1765999999999999</v>
      </c>
      <c r="F86">
        <f t="shared" si="8"/>
        <v>1.1765999999999999</v>
      </c>
      <c r="G86">
        <f t="shared" si="9"/>
        <v>2.5569156180241319</v>
      </c>
      <c r="H86">
        <f t="shared" si="10"/>
        <v>2.5569156180241319</v>
      </c>
      <c r="I86">
        <f t="shared" si="11"/>
        <v>0.9757391321000829</v>
      </c>
      <c r="J86">
        <f t="shared" si="12"/>
        <v>2.736765304443761</v>
      </c>
      <c r="K86" s="6">
        <f t="shared" si="13"/>
        <v>0.18266399999999999</v>
      </c>
      <c r="N86" s="6">
        <f t="shared" si="14"/>
        <v>133.19999999999999</v>
      </c>
      <c r="O86" s="6">
        <f t="shared" si="15"/>
        <v>102.78457646641901</v>
      </c>
      <c r="P86" s="7">
        <f t="shared" si="16"/>
        <v>-96.52114193594511</v>
      </c>
      <c r="Q86" s="7"/>
      <c r="R86" s="7">
        <f t="shared" si="17"/>
        <v>6.7029629770946881</v>
      </c>
      <c r="S86" s="7">
        <f t="shared" si="18"/>
        <v>-5.1156205226050906</v>
      </c>
      <c r="T86" s="7">
        <f t="shared" si="19"/>
        <v>-5.1156205226050906</v>
      </c>
      <c r="U86" s="7">
        <f t="shared" si="20"/>
        <v>5.6528164586810004</v>
      </c>
      <c r="V86" s="7">
        <f t="shared" si="21"/>
        <v>5.6528164586810004</v>
      </c>
      <c r="W86" s="7">
        <f t="shared" si="22"/>
        <v>-6.1478904843936064</v>
      </c>
      <c r="X86" s="7">
        <f t="shared" si="23"/>
        <v>8.3516999062246153</v>
      </c>
      <c r="Y86" s="7">
        <f t="shared" si="24"/>
        <v>0.86553588003412374</v>
      </c>
    </row>
    <row r="87" ht="14.25">
      <c r="A87">
        <v>73</v>
      </c>
      <c r="B87">
        <f t="shared" si="6"/>
        <v>21.899999999999999</v>
      </c>
      <c r="E87">
        <f t="shared" si="7"/>
        <v>1.1606999999999998</v>
      </c>
      <c r="F87">
        <f t="shared" si="8"/>
        <v>1.1606999999999998</v>
      </c>
      <c r="G87">
        <f t="shared" si="9"/>
        <v>2.553651628920758</v>
      </c>
      <c r="H87">
        <f t="shared" si="10"/>
        <v>2.553651628920758</v>
      </c>
      <c r="I87">
        <f t="shared" si="11"/>
        <v>0.95983913210008287</v>
      </c>
      <c r="J87">
        <f t="shared" si="12"/>
        <v>2.7280813406862121</v>
      </c>
      <c r="K87" s="6">
        <f t="shared" si="13"/>
        <v>0.18262800000000001</v>
      </c>
      <c r="N87" s="6">
        <f t="shared" si="14"/>
        <v>131.40000000000001</v>
      </c>
      <c r="O87" s="6">
        <f t="shared" si="15"/>
        <v>105.7656608178948</v>
      </c>
      <c r="P87" s="7">
        <f t="shared" si="16"/>
        <v>-93.244973010634894</v>
      </c>
      <c r="Q87" s="7"/>
      <c r="R87" s="7">
        <f t="shared" si="17"/>
        <v>6.8609604477229054</v>
      </c>
      <c r="S87" s="7">
        <f t="shared" si="18"/>
        <v>-4.9419835695636491</v>
      </c>
      <c r="T87" s="7">
        <f t="shared" si="19"/>
        <v>-4.9419835695636491</v>
      </c>
      <c r="U87" s="7">
        <f t="shared" si="20"/>
        <v>5.8464585282192969</v>
      </c>
      <c r="V87" s="7">
        <f t="shared" si="21"/>
        <v>5.8464585282192969</v>
      </c>
      <c r="W87" s="7">
        <f t="shared" si="22"/>
        <v>-6.0041926908581793</v>
      </c>
      <c r="X87" s="7">
        <f t="shared" si="23"/>
        <v>8.3804180797346213</v>
      </c>
      <c r="Y87" s="7">
        <f t="shared" si="24"/>
        <v>0.89271825023055373</v>
      </c>
    </row>
    <row r="88" ht="14.25">
      <c r="A88">
        <v>72</v>
      </c>
      <c r="B88">
        <f t="shared" si="6"/>
        <v>21.600000000000001</v>
      </c>
      <c r="E88">
        <f t="shared" si="7"/>
        <v>1.1448</v>
      </c>
      <c r="F88">
        <f t="shared" si="8"/>
        <v>1.1448</v>
      </c>
      <c r="G88">
        <f t="shared" si="9"/>
        <v>2.5503876398173846</v>
      </c>
      <c r="H88">
        <f t="shared" si="10"/>
        <v>2.5503876398173846</v>
      </c>
      <c r="I88">
        <f t="shared" si="11"/>
        <v>0.94393913210008307</v>
      </c>
      <c r="J88">
        <f t="shared" si="12"/>
        <v>2.7194665282814472</v>
      </c>
      <c r="K88" s="6">
        <f t="shared" si="13"/>
        <v>0.18259199999999998</v>
      </c>
      <c r="N88" s="6">
        <f t="shared" si="14"/>
        <v>129.59999999999999</v>
      </c>
      <c r="O88" s="6">
        <f t="shared" si="15"/>
        <v>108.64236723138629</v>
      </c>
      <c r="P88" s="7">
        <f t="shared" si="16"/>
        <v>-89.876782554565253</v>
      </c>
      <c r="Q88" s="7"/>
      <c r="R88" s="7">
        <f t="shared" si="17"/>
        <v>7.013425887637954</v>
      </c>
      <c r="S88" s="7">
        <f t="shared" si="18"/>
        <v>-4.7634694753919584</v>
      </c>
      <c r="T88" s="7">
        <f t="shared" si="19"/>
        <v>-4.7634694753919584</v>
      </c>
      <c r="U88" s="7">
        <f t="shared" si="20"/>
        <v>6.0355697579566741</v>
      </c>
      <c r="V88" s="7">
        <f t="shared" si="21"/>
        <v>6.0355697579566741</v>
      </c>
      <c r="W88" s="7">
        <f t="shared" si="22"/>
        <v>-5.8545694840318463</v>
      </c>
      <c r="X88" s="7">
        <f t="shared" si="23"/>
        <v>8.4085721823932804</v>
      </c>
      <c r="Y88" s="7">
        <f t="shared" si="24"/>
        <v>0.91919474658726552</v>
      </c>
    </row>
    <row r="89" ht="14.25">
      <c r="A89">
        <v>71</v>
      </c>
      <c r="B89">
        <f t="shared" si="6"/>
        <v>21.300000000000001</v>
      </c>
      <c r="E89">
        <f t="shared" si="7"/>
        <v>1.1289</v>
      </c>
      <c r="F89">
        <f t="shared" si="8"/>
        <v>1.1289</v>
      </c>
      <c r="G89">
        <f t="shared" si="9"/>
        <v>2.5471236507140107</v>
      </c>
      <c r="H89">
        <f t="shared" si="10"/>
        <v>2.5471236507140107</v>
      </c>
      <c r="I89">
        <f t="shared" si="11"/>
        <v>0.92803913210008304</v>
      </c>
      <c r="J89">
        <f t="shared" si="12"/>
        <v>2.7109215264805702</v>
      </c>
      <c r="K89" s="6">
        <f t="shared" si="13"/>
        <v>0.182556</v>
      </c>
      <c r="N89" s="6">
        <f t="shared" si="14"/>
        <v>127.8</v>
      </c>
      <c r="O89" s="6">
        <f t="shared" si="15"/>
        <v>111.41185674497237</v>
      </c>
      <c r="P89" s="7">
        <f t="shared" si="16"/>
        <v>-86.419894565069654</v>
      </c>
      <c r="Q89" s="7"/>
      <c r="R89" s="7">
        <f t="shared" si="17"/>
        <v>7.1602088318580162</v>
      </c>
      <c r="S89" s="7">
        <f t="shared" si="18"/>
        <v>-4.5802544119486912</v>
      </c>
      <c r="T89" s="7">
        <f t="shared" si="19"/>
        <v>-4.5802544119486912</v>
      </c>
      <c r="U89" s="7">
        <f t="shared" si="20"/>
        <v>6.2199635179410588</v>
      </c>
      <c r="V89" s="7">
        <f t="shared" si="21"/>
        <v>6.2199635179410588</v>
      </c>
      <c r="W89" s="7">
        <f t="shared" si="22"/>
        <v>-5.6991685239555103</v>
      </c>
      <c r="X89" s="7">
        <f t="shared" si="23"/>
        <v>8.4361405885015301</v>
      </c>
      <c r="Y89" s="7">
        <f t="shared" si="24"/>
        <v>0.94493750522555642</v>
      </c>
    </row>
    <row r="90" ht="14.25">
      <c r="A90">
        <v>70</v>
      </c>
      <c r="B90">
        <f t="shared" si="6"/>
        <v>21</v>
      </c>
      <c r="E90">
        <f t="shared" si="7"/>
        <v>1.113</v>
      </c>
      <c r="F90">
        <f t="shared" si="8"/>
        <v>1.113</v>
      </c>
      <c r="G90">
        <f t="shared" si="9"/>
        <v>2.5438596616106373</v>
      </c>
      <c r="H90">
        <f t="shared" si="10"/>
        <v>2.5438596616106373</v>
      </c>
      <c r="I90">
        <f t="shared" si="11"/>
        <v>0.91213913210008302</v>
      </c>
      <c r="J90">
        <f t="shared" si="12"/>
        <v>2.7024469974965428</v>
      </c>
      <c r="K90" s="6">
        <f t="shared" si="13"/>
        <v>0.18251999999999999</v>
      </c>
      <c r="N90" s="6">
        <f t="shared" si="14"/>
        <v>126</v>
      </c>
      <c r="O90" s="6">
        <f t="shared" si="15"/>
        <v>114.07139620686759</v>
      </c>
      <c r="P90" s="7">
        <f t="shared" si="16"/>
        <v>-82.87772057323869</v>
      </c>
      <c r="Q90" s="7"/>
      <c r="R90" s="7">
        <f t="shared" si="17"/>
        <v>7.3011644233384629</v>
      </c>
      <c r="S90" s="7">
        <f t="shared" si="18"/>
        <v>-4.3925191903816501</v>
      </c>
      <c r="T90" s="7">
        <f t="shared" si="19"/>
        <v>-4.3925191903816501</v>
      </c>
      <c r="U90" s="7">
        <f t="shared" si="20"/>
        <v>6.3994578337934716</v>
      </c>
      <c r="V90" s="7">
        <f t="shared" si="21"/>
        <v>6.3994578337934716</v>
      </c>
      <c r="W90" s="7">
        <f t="shared" si="22"/>
        <v>-5.5381431726149861</v>
      </c>
      <c r="X90" s="7">
        <f t="shared" si="23"/>
        <v>8.4631016989566312</v>
      </c>
      <c r="Y90" s="7">
        <f t="shared" si="24"/>
        <v>0.96991870206041653</v>
      </c>
    </row>
    <row r="91" ht="14.25">
      <c r="A91">
        <v>69</v>
      </c>
      <c r="B91">
        <f t="shared" si="6"/>
        <v>20.699999999999999</v>
      </c>
      <c r="E91">
        <f t="shared" si="7"/>
        <v>1.0971</v>
      </c>
      <c r="F91">
        <f t="shared" si="8"/>
        <v>1.0971</v>
      </c>
      <c r="G91">
        <f t="shared" si="9"/>
        <v>2.5405956725072634</v>
      </c>
      <c r="H91">
        <f t="shared" si="10"/>
        <v>2.5405956725072634</v>
      </c>
      <c r="I91">
        <f t="shared" si="11"/>
        <v>0.89623913210008299</v>
      </c>
      <c r="J91">
        <f t="shared" si="12"/>
        <v>2.6940436063787359</v>
      </c>
      <c r="K91" s="6">
        <f t="shared" si="13"/>
        <v>0.18248400000000001</v>
      </c>
      <c r="N91" s="6">
        <f t="shared" si="14"/>
        <v>124.2</v>
      </c>
      <c r="O91" s="6">
        <f t="shared" si="15"/>
        <v>116.61836097271321</v>
      </c>
      <c r="P91" s="7">
        <f t="shared" si="16"/>
        <v>-79.25375627715043</v>
      </c>
      <c r="Q91" s="7"/>
      <c r="R91" s="7">
        <f t="shared" si="17"/>
        <v>7.4361535559282803</v>
      </c>
      <c r="S91" s="7">
        <f t="shared" si="18"/>
        <v>-4.2004490826889729</v>
      </c>
      <c r="T91" s="7">
        <f t="shared" si="19"/>
        <v>-4.2004490826889729</v>
      </c>
      <c r="U91" s="7">
        <f t="shared" si="20"/>
        <v>6.5738755662947801</v>
      </c>
      <c r="V91" s="7">
        <f t="shared" si="21"/>
        <v>6.5738755662947801</v>
      </c>
      <c r="W91" s="7">
        <f t="shared" si="22"/>
        <v>-5.3716523425912222</v>
      </c>
      <c r="X91" s="7">
        <f t="shared" si="23"/>
        <v>8.4894339534973291</v>
      </c>
      <c r="Y91" s="7">
        <f t="shared" si="24"/>
        <v>0.99411058980658584</v>
      </c>
    </row>
    <row r="92" ht="14.25">
      <c r="A92">
        <v>68</v>
      </c>
      <c r="B92">
        <f t="shared" si="6"/>
        <v>20.399999999999999</v>
      </c>
      <c r="E92">
        <f t="shared" si="7"/>
        <v>1.0811999999999999</v>
      </c>
      <c r="F92">
        <f t="shared" si="8"/>
        <v>1.0811999999999999</v>
      </c>
      <c r="G92">
        <f t="shared" si="9"/>
        <v>2.5373316834038899</v>
      </c>
      <c r="H92">
        <f t="shared" si="10"/>
        <v>2.5373316834038899</v>
      </c>
      <c r="I92">
        <f t="shared" si="11"/>
        <v>0.88033913210008297</v>
      </c>
      <c r="J92">
        <f t="shared" si="12"/>
        <v>2.685712020882348</v>
      </c>
      <c r="K92" s="6">
        <f t="shared" si="13"/>
        <v>0.182448</v>
      </c>
      <c r="N92" s="6">
        <f t="shared" si="14"/>
        <v>122.40000000000001</v>
      </c>
      <c r="O92" s="6">
        <f t="shared" si="15"/>
        <v>119.05023749578412</v>
      </c>
      <c r="P92" s="7">
        <f t="shared" si="16"/>
        <v>-75.551578092038554</v>
      </c>
      <c r="Q92" s="7"/>
      <c r="R92" s="7">
        <f t="shared" si="17"/>
        <v>7.5650430116510394</v>
      </c>
      <c r="S92" s="7">
        <f t="shared" si="18"/>
        <v>-4.0042336388780431</v>
      </c>
      <c r="T92" s="7">
        <f t="shared" si="19"/>
        <v>-4.0042336388780431</v>
      </c>
      <c r="U92" s="7">
        <f t="shared" si="20"/>
        <v>6.7430445862007149</v>
      </c>
      <c r="V92" s="7">
        <f t="shared" si="21"/>
        <v>6.7430445862007149</v>
      </c>
      <c r="W92" s="7">
        <f t="shared" si="22"/>
        <v>-5.1998603402327648</v>
      </c>
      <c r="X92" s="7">
        <f t="shared" si="23"/>
        <v>8.5151158447443542</v>
      </c>
      <c r="Y92" s="7">
        <f t="shared" si="24"/>
        <v>1.0174855375718264</v>
      </c>
    </row>
    <row r="93" ht="14.25">
      <c r="A93">
        <v>67</v>
      </c>
      <c r="B93">
        <f t="shared" si="6"/>
        <v>20.100000000000001</v>
      </c>
      <c r="E93">
        <f t="shared" si="7"/>
        <v>1.0653000000000001</v>
      </c>
      <c r="F93">
        <f t="shared" si="8"/>
        <v>1.0653000000000001</v>
      </c>
      <c r="G93">
        <f t="shared" si="9"/>
        <v>2.534067694300516</v>
      </c>
      <c r="H93">
        <f t="shared" si="10"/>
        <v>2.534067694300516</v>
      </c>
      <c r="I93">
        <f t="shared" si="11"/>
        <v>0.86443913210008316</v>
      </c>
      <c r="J93">
        <f t="shared" si="12"/>
        <v>2.6774529113326118</v>
      </c>
      <c r="K93" s="6">
        <f t="shared" si="13"/>
        <v>0.18241199999999999</v>
      </c>
      <c r="N93" s="6">
        <f t="shared" si="14"/>
        <v>120.59999999999999</v>
      </c>
      <c r="O93" s="6">
        <f t="shared" si="15"/>
        <v>121.36462580755608</v>
      </c>
      <c r="P93" s="7">
        <f t="shared" si="16"/>
        <v>-71.774839620802297</v>
      </c>
      <c r="Q93" s="7"/>
      <c r="R93" s="7">
        <f t="shared" si="17"/>
        <v>7.6877055921749529</v>
      </c>
      <c r="S93" s="7">
        <f t="shared" si="18"/>
        <v>-3.8040664999025218</v>
      </c>
      <c r="T93" s="7">
        <f t="shared" si="19"/>
        <v>-3.8040664999025218</v>
      </c>
      <c r="U93" s="7">
        <f t="shared" si="20"/>
        <v>6.9067979441126521</v>
      </c>
      <c r="V93" s="7">
        <f t="shared" si="21"/>
        <v>6.9067979441126521</v>
      </c>
      <c r="W93" s="7">
        <f t="shared" si="22"/>
        <v>-5.0229367035052412</v>
      </c>
      <c r="X93" s="7">
        <f t="shared" si="23"/>
        <v>8.5401259339788922</v>
      </c>
      <c r="Y93" s="7">
        <f t="shared" si="24"/>
        <v>1.0400160729501486</v>
      </c>
    </row>
    <row r="94" ht="14.25">
      <c r="A94">
        <v>66</v>
      </c>
      <c r="B94">
        <f t="shared" si="6"/>
        <v>19.800000000000001</v>
      </c>
      <c r="E94">
        <f t="shared" si="7"/>
        <v>1.0494000000000001</v>
      </c>
      <c r="F94">
        <f t="shared" si="8"/>
        <v>1.0494000000000001</v>
      </c>
      <c r="G94">
        <f t="shared" si="9"/>
        <v>2.5308037051971426</v>
      </c>
      <c r="H94">
        <f t="shared" si="10"/>
        <v>2.5308037051971426</v>
      </c>
      <c r="I94">
        <f t="shared" si="11"/>
        <v>0.84853913210008314</v>
      </c>
      <c r="J94">
        <f t="shared" si="12"/>
        <v>2.6692669504837365</v>
      </c>
      <c r="K94" s="6">
        <f t="shared" si="13"/>
        <v>0.18237599999999998</v>
      </c>
      <c r="N94" s="6">
        <f t="shared" si="14"/>
        <v>118.8</v>
      </c>
      <c r="O94" s="6">
        <f t="shared" si="15"/>
        <v>123.55924188618475</v>
      </c>
      <c r="P94" s="7">
        <f t="shared" si="16"/>
        <v>-67.927268048341872</v>
      </c>
      <c r="Q94" s="7"/>
      <c r="R94" s="7">
        <f t="shared" si="17"/>
        <v>7.804020244342273</v>
      </c>
      <c r="S94" s="7">
        <f t="shared" si="18"/>
        <v>-3.6001452065621193</v>
      </c>
      <c r="T94" s="7">
        <f t="shared" si="19"/>
        <v>-3.6001452065621193</v>
      </c>
      <c r="U94" s="7">
        <f t="shared" si="20"/>
        <v>7.0649740352365091</v>
      </c>
      <c r="V94" s="7">
        <f t="shared" si="21"/>
        <v>7.0649740352365091</v>
      </c>
      <c r="W94" s="7">
        <f t="shared" si="22"/>
        <v>-4.8410560346778615</v>
      </c>
      <c r="X94" s="7">
        <f t="shared" si="23"/>
        <v>8.5644428685967071</v>
      </c>
      <c r="Y94" s="7">
        <f t="shared" si="24"/>
        <v>1.0616749265149463</v>
      </c>
    </row>
    <row r="95" ht="14.25">
      <c r="A95">
        <v>65</v>
      </c>
      <c r="B95">
        <f t="shared" si="6"/>
        <v>19.5</v>
      </c>
      <c r="E95">
        <f t="shared" si="7"/>
        <v>1.0334999999999999</v>
      </c>
      <c r="F95">
        <f t="shared" si="8"/>
        <v>1.0334999999999999</v>
      </c>
      <c r="G95">
        <f t="shared" si="9"/>
        <v>2.5275397160937687</v>
      </c>
      <c r="H95">
        <f t="shared" si="10"/>
        <v>2.5275397160937687</v>
      </c>
      <c r="I95">
        <f t="shared" si="11"/>
        <v>0.83263913210008289</v>
      </c>
      <c r="J95">
        <f t="shared" si="12"/>
        <v>2.6611548133725234</v>
      </c>
      <c r="K95" s="6">
        <f t="shared" si="13"/>
        <v>0.18233999999999997</v>
      </c>
      <c r="N95" s="6">
        <f t="shared" si="14"/>
        <v>117</v>
      </c>
      <c r="O95" s="6">
        <f t="shared" si="15"/>
        <v>125.63191991055987</v>
      </c>
      <c r="P95" s="7">
        <f t="shared" si="16"/>
        <v>-64.012660463276092</v>
      </c>
      <c r="Q95" s="7"/>
      <c r="R95" s="7">
        <f t="shared" si="17"/>
        <v>7.9138721796341542</v>
      </c>
      <c r="S95" s="7">
        <f t="shared" si="18"/>
        <v>-3.3926710045536326</v>
      </c>
      <c r="T95" s="7">
        <f t="shared" si="19"/>
        <v>-3.3926710045536326</v>
      </c>
      <c r="U95" s="7">
        <f t="shared" si="20"/>
        <v>7.217416758867186</v>
      </c>
      <c r="V95" s="7">
        <f t="shared" si="21"/>
        <v>7.217416758867186</v>
      </c>
      <c r="W95" s="7">
        <f t="shared" si="22"/>
        <v>-4.6543978280120282</v>
      </c>
      <c r="X95" s="7">
        <f t="shared" si="23"/>
        <v>8.5880454011713283</v>
      </c>
      <c r="Y95" s="7">
        <f t="shared" si="24"/>
        <v>1.0824350785995338</v>
      </c>
    </row>
    <row r="96" ht="14.25">
      <c r="A96">
        <v>64</v>
      </c>
      <c r="B96">
        <f t="shared" si="6"/>
        <v>19.199999999999999</v>
      </c>
      <c r="E96">
        <f t="shared" si="7"/>
        <v>1.0175999999999998</v>
      </c>
      <c r="F96">
        <f t="shared" si="8"/>
        <v>1.0175999999999998</v>
      </c>
      <c r="G96">
        <f t="shared" si="9"/>
        <v>2.5242757269903953</v>
      </c>
      <c r="H96">
        <f t="shared" si="10"/>
        <v>2.5242757269903953</v>
      </c>
      <c r="I96">
        <f t="shared" si="11"/>
        <v>0.81673913210008287</v>
      </c>
      <c r="J96">
        <f t="shared" si="12"/>
        <v>2.6531171771666031</v>
      </c>
      <c r="K96" s="6">
        <f t="shared" si="13"/>
        <v>0.18230399999999999</v>
      </c>
      <c r="N96" s="6">
        <f t="shared" si="14"/>
        <v>115.2</v>
      </c>
      <c r="O96" s="6">
        <f t="shared" si="15"/>
        <v>127.58061439770874</v>
      </c>
      <c r="P96" s="7">
        <f t="shared" si="16"/>
        <v>-60.034880110675253</v>
      </c>
      <c r="Q96" s="7"/>
      <c r="R96" s="7">
        <f t="shared" si="17"/>
        <v>8.0171529874530449</v>
      </c>
      <c r="S96" s="7">
        <f t="shared" si="18"/>
        <v>-3.1818486458657884</v>
      </c>
      <c r="T96" s="7">
        <f t="shared" si="19"/>
        <v>-3.1818486458657884</v>
      </c>
      <c r="U96" s="7">
        <f t="shared" si="20"/>
        <v>7.3639756724410868</v>
      </c>
      <c r="V96" s="7">
        <f t="shared" si="21"/>
        <v>7.3639756724410868</v>
      </c>
      <c r="W96" s="7">
        <f t="shared" si="22"/>
        <v>-4.4631462926222092</v>
      </c>
      <c r="X96" s="7">
        <f t="shared" si="23"/>
        <v>8.6109124100557146</v>
      </c>
      <c r="Y96" s="7">
        <f t="shared" si="24"/>
        <v>1.1022698082405022</v>
      </c>
    </row>
    <row r="97" ht="14.25">
      <c r="A97">
        <v>63</v>
      </c>
      <c r="B97">
        <f t="shared" si="6"/>
        <v>18.899999999999999</v>
      </c>
      <c r="E97">
        <f t="shared" si="7"/>
        <v>1.0016999999999998</v>
      </c>
      <c r="F97">
        <f t="shared" si="8"/>
        <v>1.0016999999999998</v>
      </c>
      <c r="G97">
        <f t="shared" si="9"/>
        <v>2.5210117378870214</v>
      </c>
      <c r="H97">
        <f t="shared" si="10"/>
        <v>2.5210117378870214</v>
      </c>
      <c r="I97">
        <f t="shared" si="11"/>
        <v>0.80083913210008284</v>
      </c>
      <c r="J97">
        <f t="shared" si="12"/>
        <v>2.6451547210072524</v>
      </c>
      <c r="K97" s="6">
        <f t="shared" si="13"/>
        <v>0.18226799999999999</v>
      </c>
      <c r="N97" s="6">
        <f t="shared" si="14"/>
        <v>113.40000000000001</v>
      </c>
      <c r="O97" s="6">
        <f t="shared" si="15"/>
        <v>129.40340222144135</v>
      </c>
      <c r="P97" s="7">
        <f t="shared" si="16"/>
        <v>-55.997852579504041</v>
      </c>
      <c r="Q97" s="7"/>
      <c r="R97" s="7">
        <f t="shared" si="17"/>
        <v>8.1137607421108733</v>
      </c>
      <c r="S97" s="7">
        <f t="shared" si="18"/>
        <v>-2.9678861867137143</v>
      </c>
      <c r="T97" s="7">
        <f t="shared" si="19"/>
        <v>-2.9678861867137143</v>
      </c>
      <c r="U97" s="7">
        <f t="shared" si="20"/>
        <v>7.5045061400047892</v>
      </c>
      <c r="V97" s="7">
        <f t="shared" si="21"/>
        <v>7.5045061400047892</v>
      </c>
      <c r="W97" s="7">
        <f t="shared" si="22"/>
        <v>-4.267490170683752</v>
      </c>
      <c r="X97" s="7">
        <f t="shared" si="23"/>
        <v>8.6330229214483154</v>
      </c>
      <c r="Y97" s="7">
        <f t="shared" si="24"/>
        <v>1.121152744147677</v>
      </c>
    </row>
    <row r="98" ht="14.25">
      <c r="A98">
        <v>62</v>
      </c>
      <c r="B98">
        <f t="shared" si="6"/>
        <v>18.600000000000001</v>
      </c>
      <c r="E98">
        <f t="shared" si="7"/>
        <v>0.98580000000000001</v>
      </c>
      <c r="F98">
        <f t="shared" si="8"/>
        <v>0.98580000000000001</v>
      </c>
      <c r="G98">
        <f t="shared" si="9"/>
        <v>2.5177477487836479</v>
      </c>
      <c r="H98">
        <f t="shared" si="10"/>
        <v>2.5177477487836479</v>
      </c>
      <c r="I98">
        <f t="shared" si="11"/>
        <v>0.78493913210008304</v>
      </c>
      <c r="J98">
        <f t="shared" si="12"/>
        <v>2.6372681258467368</v>
      </c>
      <c r="K98" s="6">
        <f t="shared" si="13"/>
        <v>0.18223200000000001</v>
      </c>
      <c r="N98" s="6">
        <f t="shared" si="14"/>
        <v>111.59999999999999</v>
      </c>
      <c r="O98" s="6">
        <f t="shared" si="15"/>
        <v>131.09848451024345</v>
      </c>
      <c r="P98" s="7">
        <f t="shared" si="16"/>
        <v>-51.905561928539598</v>
      </c>
      <c r="Q98" s="7"/>
      <c r="R98" s="7">
        <f t="shared" si="17"/>
        <v>8.2036001034173847</v>
      </c>
      <c r="S98" s="7">
        <f t="shared" si="18"/>
        <v>-2.7509947822125986</v>
      </c>
      <c r="T98" s="7">
        <f t="shared" si="19"/>
        <v>-2.7509947822125986</v>
      </c>
      <c r="U98" s="7">
        <f t="shared" si="20"/>
        <v>7.6388694749532533</v>
      </c>
      <c r="V98" s="7">
        <f t="shared" si="21"/>
        <v>7.6388694749532533</v>
      </c>
      <c r="W98" s="7">
        <f t="shared" si="22"/>
        <v>-4.0676225511671653</v>
      </c>
      <c r="X98" s="7">
        <f t="shared" si="23"/>
        <v>8.6543561328464094</v>
      </c>
      <c r="Y98" s="7">
        <f t="shared" si="24"/>
        <v>1.1390579175532862</v>
      </c>
    </row>
    <row r="99" ht="14.25">
      <c r="A99">
        <v>61</v>
      </c>
      <c r="B99">
        <f t="shared" si="6"/>
        <v>18.300000000000001</v>
      </c>
      <c r="E99">
        <f t="shared" si="7"/>
        <v>0.96989999999999998</v>
      </c>
      <c r="F99">
        <f t="shared" si="8"/>
        <v>0.96989999999999998</v>
      </c>
      <c r="G99">
        <f t="shared" si="9"/>
        <v>2.5144837596802745</v>
      </c>
      <c r="H99">
        <f t="shared" si="10"/>
        <v>2.5144837596802745</v>
      </c>
      <c r="I99">
        <f t="shared" si="11"/>
        <v>0.76903913210008301</v>
      </c>
      <c r="J99">
        <f t="shared" si="12"/>
        <v>2.6294580742801541</v>
      </c>
      <c r="K99" s="6">
        <f t="shared" si="13"/>
        <v>0.18219599999999997</v>
      </c>
      <c r="N99" s="6">
        <f t="shared" si="14"/>
        <v>109.8</v>
      </c>
      <c r="O99" s="6">
        <f t="shared" si="15"/>
        <v>132.66418842254578</v>
      </c>
      <c r="P99" s="7">
        <f t="shared" si="16"/>
        <v>-47.762046754586081</v>
      </c>
      <c r="Q99" s="7"/>
      <c r="R99" s="7">
        <f t="shared" si="17"/>
        <v>8.286582410769407</v>
      </c>
      <c r="S99" s="7">
        <f t="shared" si="18"/>
        <v>-2.5313884779930622</v>
      </c>
      <c r="T99" s="7">
        <f t="shared" si="19"/>
        <v>-2.5313884779930622</v>
      </c>
      <c r="U99" s="7">
        <f t="shared" si="20"/>
        <v>7.7669330768967679</v>
      </c>
      <c r="V99" s="7">
        <f t="shared" si="21"/>
        <v>7.7669330768967679</v>
      </c>
      <c r="W99" s="7">
        <f t="shared" si="22"/>
        <v>-3.8637406792825955</v>
      </c>
      <c r="X99" s="7">
        <f t="shared" si="23"/>
        <v>8.6748914378069433</v>
      </c>
      <c r="Y99" s="7">
        <f t="shared" si="24"/>
        <v>1.1559598167823308</v>
      </c>
    </row>
    <row r="100" ht="14.25">
      <c r="A100">
        <v>60</v>
      </c>
      <c r="B100">
        <f t="shared" ref="B100:B163" si="25">$B$27*A100/100</f>
        <v>18</v>
      </c>
      <c r="E100">
        <f t="shared" ref="E100:E163" si="26">B100*$B$7</f>
        <v>0.95399999999999996</v>
      </c>
      <c r="F100">
        <f t="shared" ref="F100:F163" si="27">E100</f>
        <v>0.95399999999999996</v>
      </c>
      <c r="G100">
        <f t="shared" ref="G100:G163" si="28">$D$60+B100*$B$8*$B$14</f>
        <v>2.5112197705769006</v>
      </c>
      <c r="H100">
        <f t="shared" ref="H100:H163" si="29">G100</f>
        <v>2.5112197705769006</v>
      </c>
      <c r="I100">
        <f t="shared" ref="I100:I163" si="30">E100-$B$26*$B$14*$B$9</f>
        <v>0.75313913210008299</v>
      </c>
      <c r="J100">
        <f t="shared" ref="J100:J163" si="31">SQRT(I100*I100+H100*H100)</f>
        <v>2.6217252503717408</v>
      </c>
      <c r="K100" s="6">
        <f t="shared" ref="K100:K163" si="32">1.5*$B$13*($B$26*$B$6+$B$26*B100*($B$8-$B$9))</f>
        <v>0.18215999999999999</v>
      </c>
      <c r="N100" s="6">
        <f t="shared" ref="N100:N163" si="33">180*A100/100</f>
        <v>108</v>
      </c>
      <c r="O100" s="6">
        <f t="shared" ref="O100:O163" si="34">$B$31*SIN(N100/180*PI())</f>
        <v>134.09896879761666</v>
      </c>
      <c r="P100" s="7">
        <f t="shared" ref="P100:P163" si="35">$B$31*COS(N100/180*PI())</f>
        <v>-43.571396206867576</v>
      </c>
      <c r="Q100" s="7"/>
      <c r="R100" s="7">
        <f t="shared" ref="R100:R163" si="36">$Q$60+O100*$B$7</f>
        <v>8.3626257706481653</v>
      </c>
      <c r="S100" s="7">
        <f t="shared" ref="S100:S163" si="37">P100*$B$7</f>
        <v>-2.3092839989639815</v>
      </c>
      <c r="T100" s="7">
        <f t="shared" ref="T100:T163" si="38">S100</f>
        <v>-2.3092839989639815</v>
      </c>
      <c r="U100" s="7">
        <f t="shared" ref="U100:U163" si="39">R100+P100*$B$8*$B$14</f>
        <v>7.8885705625215259</v>
      </c>
      <c r="V100" s="7">
        <f t="shared" ref="V100:V163" si="40">U100</f>
        <v>7.8885705625215259</v>
      </c>
      <c r="W100" s="7">
        <f t="shared" ref="W100:W163" si="41">S100-O100*$B$14*$B$9</f>
        <v>-3.6560457618226403</v>
      </c>
      <c r="X100" s="7">
        <f t="shared" ref="X100:X163" si="42">SQRT(W100*W100+V100*V100)</f>
        <v>8.6946084519328686</v>
      </c>
      <c r="Y100" s="7">
        <f t="shared" ref="Y100:Y163" si="43">1.5*$B$13*(O100*$B$6+O100*P100*($B$8-$B$9))</f>
        <v>1.17183344337607</v>
      </c>
    </row>
    <row r="101" ht="14.25">
      <c r="A101">
        <v>59</v>
      </c>
      <c r="B101">
        <f t="shared" si="25"/>
        <v>17.699999999999999</v>
      </c>
      <c r="E101">
        <f t="shared" si="26"/>
        <v>0.93809999999999993</v>
      </c>
      <c r="F101">
        <f t="shared" si="27"/>
        <v>0.93809999999999993</v>
      </c>
      <c r="G101">
        <f t="shared" si="28"/>
        <v>2.5079557814735272</v>
      </c>
      <c r="H101">
        <f t="shared" si="29"/>
        <v>2.5079557814735272</v>
      </c>
      <c r="I101">
        <f t="shared" si="30"/>
        <v>0.73723913210008296</v>
      </c>
      <c r="J101">
        <f t="shared" si="31"/>
        <v>2.6140703394756182</v>
      </c>
      <c r="K101" s="6">
        <f t="shared" si="32"/>
        <v>0.18212400000000001</v>
      </c>
      <c r="N101" s="6">
        <f t="shared" si="33"/>
        <v>106.2</v>
      </c>
      <c r="O101" s="6">
        <f t="shared" si="34"/>
        <v>135.40140968044898</v>
      </c>
      <c r="P101" s="7">
        <f t="shared" si="35"/>
        <v>-39.337745951531311</v>
      </c>
      <c r="Q101" s="7"/>
      <c r="R101" s="7">
        <f t="shared" si="36"/>
        <v>8.4316551374382769</v>
      </c>
      <c r="S101" s="7">
        <f t="shared" si="37"/>
        <v>-2.0849005354311596</v>
      </c>
      <c r="T101" s="7">
        <f t="shared" si="38"/>
        <v>-2.0849005354311596</v>
      </c>
      <c r="U101" s="7">
        <f t="shared" si="39"/>
        <v>8.0036618903146799</v>
      </c>
      <c r="V101" s="7">
        <f t="shared" si="40"/>
        <v>8.0036618903146799</v>
      </c>
      <c r="W101" s="7">
        <f t="shared" si="41"/>
        <v>-3.4447427685955199</v>
      </c>
      <c r="X101" s="7">
        <f t="shared" si="42"/>
        <v>8.7134870400010751</v>
      </c>
      <c r="Y101" s="7">
        <f t="shared" si="43"/>
        <v>1.1866543695911087</v>
      </c>
    </row>
    <row r="102" ht="14.25">
      <c r="A102">
        <v>58</v>
      </c>
      <c r="B102">
        <f t="shared" si="25"/>
        <v>17.399999999999999</v>
      </c>
      <c r="E102">
        <f t="shared" si="26"/>
        <v>0.92219999999999991</v>
      </c>
      <c r="F102">
        <f t="shared" si="27"/>
        <v>0.92219999999999991</v>
      </c>
      <c r="G102">
        <f t="shared" si="28"/>
        <v>2.5046917923701533</v>
      </c>
      <c r="H102">
        <f t="shared" si="29"/>
        <v>2.5046917923701533</v>
      </c>
      <c r="I102">
        <f t="shared" si="30"/>
        <v>0.72133913210008294</v>
      </c>
      <c r="J102">
        <f t="shared" si="31"/>
        <v>2.6064940280509585</v>
      </c>
      <c r="K102" s="6">
        <f t="shared" si="32"/>
        <v>0.182088</v>
      </c>
      <c r="N102" s="6">
        <f t="shared" si="33"/>
        <v>104.40000000000001</v>
      </c>
      <c r="O102" s="6">
        <f t="shared" si="34"/>
        <v>136.57022571913697</v>
      </c>
      <c r="P102" s="7">
        <f t="shared" si="35"/>
        <v>-35.065274090244536</v>
      </c>
      <c r="Q102" s="7"/>
      <c r="R102" s="7">
        <f t="shared" si="36"/>
        <v>8.4936023874887407</v>
      </c>
      <c r="S102" s="7">
        <f t="shared" si="37"/>
        <v>-1.8584595267829604</v>
      </c>
      <c r="T102" s="7">
        <f t="shared" si="38"/>
        <v>-1.8584595267829604</v>
      </c>
      <c r="U102" s="7">
        <f t="shared" si="39"/>
        <v>8.112093479030845</v>
      </c>
      <c r="V102" s="7">
        <f t="shared" si="40"/>
        <v>8.112093479030845</v>
      </c>
      <c r="W102" s="7">
        <f t="shared" si="41"/>
        <v>-3.2300402301446316</v>
      </c>
      <c r="X102" s="7">
        <f t="shared" si="42"/>
        <v>8.7315073441466886</v>
      </c>
      <c r="Y102" s="7">
        <f t="shared" si="43"/>
        <v>1.2003987970877841</v>
      </c>
    </row>
    <row r="103" ht="14.25">
      <c r="A103">
        <v>57</v>
      </c>
      <c r="B103">
        <f t="shared" si="25"/>
        <v>17.100000000000001</v>
      </c>
      <c r="E103">
        <f t="shared" si="26"/>
        <v>0.90629999999999999</v>
      </c>
      <c r="F103">
        <f t="shared" si="27"/>
        <v>0.90629999999999999</v>
      </c>
      <c r="G103">
        <f t="shared" si="28"/>
        <v>2.5014278032667798</v>
      </c>
      <c r="H103">
        <f t="shared" si="29"/>
        <v>2.5014278032667798</v>
      </c>
      <c r="I103">
        <f t="shared" si="30"/>
        <v>0.70543913210008302</v>
      </c>
      <c r="J103">
        <f t="shared" si="31"/>
        <v>2.5989970034715673</v>
      </c>
      <c r="K103" s="6">
        <f t="shared" si="32"/>
        <v>0.18205199999999999</v>
      </c>
      <c r="N103" s="6">
        <f t="shared" si="33"/>
        <v>102.59999999999999</v>
      </c>
      <c r="O103" s="6">
        <f t="shared" si="34"/>
        <v>137.6042634333634</v>
      </c>
      <c r="P103" s="7">
        <f t="shared" si="35"/>
        <v>-30.75819703691247</v>
      </c>
      <c r="Q103" s="7"/>
      <c r="R103" s="7">
        <f t="shared" si="36"/>
        <v>8.5484063863427409</v>
      </c>
      <c r="S103" s="7">
        <f t="shared" si="37"/>
        <v>-1.6301844429563608</v>
      </c>
      <c r="T103" s="7">
        <f t="shared" si="38"/>
        <v>-1.6301844429563608</v>
      </c>
      <c r="U103" s="7">
        <f t="shared" si="39"/>
        <v>8.2137583197830679</v>
      </c>
      <c r="V103" s="7">
        <f t="shared" si="40"/>
        <v>8.2137583197830679</v>
      </c>
      <c r="W103" s="7">
        <f t="shared" si="41"/>
        <v>-3.0121500319540702</v>
      </c>
      <c r="X103" s="7">
        <f t="shared" si="42"/>
        <v>8.7486498130172325</v>
      </c>
      <c r="Y103" s="7">
        <f t="shared" si="43"/>
        <v>1.2130436166134551</v>
      </c>
    </row>
    <row r="104" ht="14.25">
      <c r="A104">
        <v>56</v>
      </c>
      <c r="B104">
        <f t="shared" si="25"/>
        <v>16.800000000000001</v>
      </c>
      <c r="E104">
        <f t="shared" si="26"/>
        <v>0.89039999999999997</v>
      </c>
      <c r="F104">
        <f t="shared" si="27"/>
        <v>0.89039999999999997</v>
      </c>
      <c r="G104">
        <f t="shared" si="28"/>
        <v>2.4981638141634059</v>
      </c>
      <c r="H104">
        <f t="shared" si="29"/>
        <v>2.4981638141634059</v>
      </c>
      <c r="I104">
        <f t="shared" si="30"/>
        <v>0.689539132100083</v>
      </c>
      <c r="J104">
        <f t="shared" si="31"/>
        <v>2.5915799538298625</v>
      </c>
      <c r="K104" s="6">
        <f t="shared" si="32"/>
        <v>0.18201599999999998</v>
      </c>
      <c r="N104" s="6">
        <f t="shared" si="33"/>
        <v>100.8</v>
      </c>
      <c r="O104" s="6">
        <f t="shared" si="34"/>
        <v>138.5025023527451</v>
      </c>
      <c r="P104" s="7">
        <f t="shared" si="35"/>
        <v>-26.420765356587136</v>
      </c>
      <c r="Q104" s="7"/>
      <c r="R104" s="7">
        <f t="shared" si="36"/>
        <v>8.5960130490699722</v>
      </c>
      <c r="S104" s="7">
        <f t="shared" si="37"/>
        <v>-1.4003005638991182</v>
      </c>
      <c r="T104" s="7">
        <f t="shared" si="38"/>
        <v>-1.4003005638991182</v>
      </c>
      <c r="U104" s="7">
        <f t="shared" si="39"/>
        <v>8.308556081647664</v>
      </c>
      <c r="V104" s="7">
        <f t="shared" si="40"/>
        <v>8.308556081647664</v>
      </c>
      <c r="W104" s="7">
        <f t="shared" si="41"/>
        <v>-2.7912872053432523</v>
      </c>
      <c r="X104" s="7">
        <f t="shared" si="42"/>
        <v>8.7648952318095255</v>
      </c>
      <c r="Y104" s="7">
        <f t="shared" si="43"/>
        <v>1.2245664684789337</v>
      </c>
    </row>
    <row r="105" ht="14.25">
      <c r="A105">
        <v>55</v>
      </c>
      <c r="B105">
        <f t="shared" si="25"/>
        <v>16.5</v>
      </c>
      <c r="E105">
        <f t="shared" si="26"/>
        <v>0.87449999999999994</v>
      </c>
      <c r="F105">
        <f t="shared" si="27"/>
        <v>0.87449999999999994</v>
      </c>
      <c r="G105">
        <f t="shared" si="28"/>
        <v>2.4948998250600325</v>
      </c>
      <c r="H105">
        <f t="shared" si="29"/>
        <v>2.4948998250600325</v>
      </c>
      <c r="I105">
        <f t="shared" si="30"/>
        <v>0.67363913210008297</v>
      </c>
      <c r="J105">
        <f t="shared" si="31"/>
        <v>2.5842435677352733</v>
      </c>
      <c r="K105" s="6">
        <f t="shared" si="32"/>
        <v>0.18198</v>
      </c>
      <c r="N105" s="6">
        <f t="shared" si="33"/>
        <v>99</v>
      </c>
      <c r="O105" s="6">
        <f t="shared" si="34"/>
        <v>139.26405602391441</v>
      </c>
      <c r="P105" s="7">
        <f t="shared" si="35"/>
        <v>-22.057259570672574</v>
      </c>
      <c r="Q105" s="7"/>
      <c r="R105" s="7">
        <f t="shared" si="36"/>
        <v>8.636375393641945</v>
      </c>
      <c r="S105" s="7">
        <f t="shared" si="37"/>
        <v>-1.1690347572456463</v>
      </c>
      <c r="T105" s="7">
        <f t="shared" si="38"/>
        <v>-1.1690347572456463</v>
      </c>
      <c r="U105" s="7">
        <f t="shared" si="39"/>
        <v>8.3963932106787471</v>
      </c>
      <c r="V105" s="7">
        <f t="shared" si="40"/>
        <v>8.3963932106787471</v>
      </c>
      <c r="W105" s="7">
        <f t="shared" si="41"/>
        <v>-2.5676697152569519</v>
      </c>
      <c r="X105" s="7">
        <f t="shared" si="42"/>
        <v>8.7802247531017041</v>
      </c>
      <c r="Y105" s="7">
        <f t="shared" si="43"/>
        <v>1.2349458036197247</v>
      </c>
    </row>
    <row r="106" ht="14.25">
      <c r="A106">
        <v>54</v>
      </c>
      <c r="B106">
        <f t="shared" si="25"/>
        <v>16.199999999999999</v>
      </c>
      <c r="E106">
        <f t="shared" si="26"/>
        <v>0.85859999999999992</v>
      </c>
      <c r="F106">
        <f t="shared" si="27"/>
        <v>0.85859999999999992</v>
      </c>
      <c r="G106">
        <f t="shared" si="28"/>
        <v>2.4916358359566586</v>
      </c>
      <c r="H106">
        <f t="shared" si="29"/>
        <v>2.4916358359566586</v>
      </c>
      <c r="I106">
        <f t="shared" si="30"/>
        <v>0.65773913210008295</v>
      </c>
      <c r="J106">
        <f t="shared" si="31"/>
        <v>2.5769885341070506</v>
      </c>
      <c r="K106" s="6">
        <f t="shared" si="32"/>
        <v>0.18194399999999999</v>
      </c>
      <c r="N106" s="6">
        <f t="shared" si="33"/>
        <v>97.200000000000003</v>
      </c>
      <c r="O106" s="6">
        <f t="shared" si="34"/>
        <v>139.88817288534136</v>
      </c>
      <c r="P106" s="7">
        <f t="shared" si="35"/>
        <v>-17.671985932566916</v>
      </c>
      <c r="Q106" s="7"/>
      <c r="R106" s="7">
        <f t="shared" si="36"/>
        <v>8.6694535872975731</v>
      </c>
      <c r="S106" s="7">
        <f t="shared" si="37"/>
        <v>-0.93661525442604654</v>
      </c>
      <c r="T106" s="7">
        <f t="shared" si="38"/>
        <v>-0.93661525442604654</v>
      </c>
      <c r="U106" s="7">
        <f t="shared" si="39"/>
        <v>8.4771830222346694</v>
      </c>
      <c r="V106" s="7">
        <f t="shared" si="40"/>
        <v>8.4771830222346694</v>
      </c>
      <c r="W106" s="7">
        <f t="shared" si="41"/>
        <v>-2.3415182451602115</v>
      </c>
      <c r="X106" s="7">
        <f t="shared" si="42"/>
        <v>8.7946199283926916</v>
      </c>
      <c r="Y106" s="7">
        <f t="shared" si="43"/>
        <v>1.244160945027899</v>
      </c>
    </row>
    <row r="107" ht="14.25">
      <c r="A107">
        <v>53</v>
      </c>
      <c r="B107">
        <f t="shared" si="25"/>
        <v>15.9</v>
      </c>
      <c r="E107">
        <f t="shared" si="26"/>
        <v>0.8427</v>
      </c>
      <c r="F107">
        <f t="shared" si="27"/>
        <v>0.8427</v>
      </c>
      <c r="G107">
        <f t="shared" si="28"/>
        <v>2.4883718468532852</v>
      </c>
      <c r="H107">
        <f t="shared" si="29"/>
        <v>2.4883718468532852</v>
      </c>
      <c r="I107">
        <f t="shared" si="30"/>
        <v>0.64183913210008303</v>
      </c>
      <c r="J107">
        <f t="shared" si="31"/>
        <v>2.569815541961527</v>
      </c>
      <c r="K107" s="6">
        <f t="shared" si="32"/>
        <v>0.18190799999999999</v>
      </c>
      <c r="N107" s="6">
        <f t="shared" si="33"/>
        <v>95.400000000000006</v>
      </c>
      <c r="O107" s="6">
        <f t="shared" si="34"/>
        <v>140.37423700903429</v>
      </c>
      <c r="P107" s="7">
        <f t="shared" si="35"/>
        <v>-13.269272177910528</v>
      </c>
      <c r="Q107" s="7"/>
      <c r="R107" s="7">
        <f t="shared" si="36"/>
        <v>8.6952149858532994</v>
      </c>
      <c r="S107" s="7">
        <f t="shared" si="37"/>
        <v>-0.70327142542925791</v>
      </c>
      <c r="T107" s="7">
        <f t="shared" si="38"/>
        <v>-0.70327142542925791</v>
      </c>
      <c r="U107" s="7">
        <f t="shared" si="39"/>
        <v>8.5508457865253025</v>
      </c>
      <c r="V107" s="7">
        <f t="shared" si="40"/>
        <v>8.5508457865253025</v>
      </c>
      <c r="W107" s="7">
        <f t="shared" si="41"/>
        <v>-2.1130559792504218</v>
      </c>
      <c r="X107" s="7">
        <f t="shared" si="42"/>
        <v>8.8080627402615317</v>
      </c>
      <c r="Y107" s="7">
        <f t="shared" si="43"/>
        <v>1.2521921493354722</v>
      </c>
    </row>
    <row r="108" ht="14.25">
      <c r="A108">
        <v>52</v>
      </c>
      <c r="B108">
        <f t="shared" si="25"/>
        <v>15.6</v>
      </c>
      <c r="E108">
        <f t="shared" si="26"/>
        <v>0.82679999999999998</v>
      </c>
      <c r="F108">
        <f t="shared" si="27"/>
        <v>0.82679999999999998</v>
      </c>
      <c r="G108">
        <f t="shared" si="28"/>
        <v>2.4851078577499113</v>
      </c>
      <c r="H108">
        <f t="shared" si="29"/>
        <v>2.4851078577499113</v>
      </c>
      <c r="I108">
        <f t="shared" si="30"/>
        <v>0.62593913210008301</v>
      </c>
      <c r="J108">
        <f t="shared" si="31"/>
        <v>2.5627252801938329</v>
      </c>
      <c r="K108" s="6">
        <f t="shared" si="32"/>
        <v>0.18187199999999998</v>
      </c>
      <c r="N108" s="6">
        <f t="shared" si="33"/>
        <v>93.599999999999994</v>
      </c>
      <c r="O108" s="6">
        <f t="shared" si="34"/>
        <v>140.72176870838629</v>
      </c>
      <c r="P108" s="7">
        <f t="shared" si="35"/>
        <v>-8.8534632536331888</v>
      </c>
      <c r="Q108" s="7"/>
      <c r="R108" s="7">
        <f t="shared" si="36"/>
        <v>8.713634165918954</v>
      </c>
      <c r="S108" s="7">
        <f t="shared" si="37"/>
        <v>-0.46923355244255899</v>
      </c>
      <c r="T108" s="7">
        <f t="shared" si="38"/>
        <v>-0.46923355244255899</v>
      </c>
      <c r="U108" s="7">
        <f t="shared" si="39"/>
        <v>8.6173088072956947</v>
      </c>
      <c r="V108" s="7">
        <f t="shared" si="40"/>
        <v>8.6173088072956947</v>
      </c>
      <c r="W108" s="7">
        <f t="shared" si="41"/>
        <v>-1.8825083822014517</v>
      </c>
      <c r="X108" s="7">
        <f t="shared" si="42"/>
        <v>8.8205356350595103</v>
      </c>
      <c r="Y108" s="7">
        <f t="shared" si="43"/>
        <v>1.2590206683260008</v>
      </c>
    </row>
    <row r="109" ht="14.25">
      <c r="A109">
        <v>51</v>
      </c>
      <c r="B109">
        <f t="shared" si="25"/>
        <v>15.300000000000001</v>
      </c>
      <c r="E109">
        <f t="shared" si="26"/>
        <v>0.81090000000000007</v>
      </c>
      <c r="F109">
        <f t="shared" si="27"/>
        <v>0.81090000000000007</v>
      </c>
      <c r="G109">
        <f t="shared" si="28"/>
        <v>2.4818438686465378</v>
      </c>
      <c r="H109">
        <f t="shared" si="29"/>
        <v>2.4818438686465378</v>
      </c>
      <c r="I109">
        <f t="shared" si="30"/>
        <v>0.61003913210008309</v>
      </c>
      <c r="J109">
        <f t="shared" si="31"/>
        <v>2.55571843735413</v>
      </c>
      <c r="K109" s="6">
        <f t="shared" si="32"/>
        <v>0.181836</v>
      </c>
      <c r="N109" s="6">
        <f t="shared" si="33"/>
        <v>91.799999999999997</v>
      </c>
      <c r="O109" s="6">
        <f t="shared" si="34"/>
        <v>140.93042501156816</v>
      </c>
      <c r="P109" s="7">
        <f t="shared" si="35"/>
        <v>-4.4289170300160876</v>
      </c>
      <c r="Q109" s="7"/>
      <c r="R109" s="7">
        <f t="shared" si="36"/>
        <v>8.7246929499875936</v>
      </c>
      <c r="S109" s="7">
        <f t="shared" si="37"/>
        <v>-0.23473260259085263</v>
      </c>
      <c r="T109" s="7">
        <f t="shared" si="38"/>
        <v>-0.23473260259085263</v>
      </c>
      <c r="U109" s="7">
        <f t="shared" si="39"/>
        <v>8.6765064935685317</v>
      </c>
      <c r="V109" s="7">
        <f t="shared" si="40"/>
        <v>8.6765064935685317</v>
      </c>
      <c r="W109" s="7">
        <f t="shared" si="41"/>
        <v>-1.6501029766572404</v>
      </c>
      <c r="X109" s="7">
        <f t="shared" si="42"/>
        <v>8.8320215560487618</v>
      </c>
      <c r="Y109" s="7">
        <f t="shared" si="43"/>
        <v>1.2646288101478267</v>
      </c>
    </row>
    <row r="110" ht="14.25">
      <c r="A110">
        <v>50</v>
      </c>
      <c r="B110">
        <f t="shared" si="25"/>
        <v>15</v>
      </c>
      <c r="E110">
        <f t="shared" si="26"/>
        <v>0.79499999999999993</v>
      </c>
      <c r="F110">
        <f t="shared" si="27"/>
        <v>0.79499999999999993</v>
      </c>
      <c r="G110">
        <f t="shared" si="28"/>
        <v>2.4785798795431639</v>
      </c>
      <c r="H110">
        <f t="shared" si="29"/>
        <v>2.4785798795431639</v>
      </c>
      <c r="I110">
        <f t="shared" si="30"/>
        <v>0.59413913210008296</v>
      </c>
      <c r="J110">
        <f t="shared" si="31"/>
        <v>2.5487957014183866</v>
      </c>
      <c r="K110" s="6">
        <f t="shared" si="32"/>
        <v>0.18179999999999999</v>
      </c>
      <c r="N110" s="6">
        <f t="shared" si="33"/>
        <v>90</v>
      </c>
      <c r="O110" s="6">
        <f t="shared" si="34"/>
        <v>141</v>
      </c>
      <c r="P110" s="7">
        <f t="shared" si="35"/>
        <v>8.6337599339888406e-15</v>
      </c>
      <c r="Q110" s="7"/>
      <c r="R110" s="7">
        <f t="shared" si="36"/>
        <v>8.7283804243744818</v>
      </c>
      <c r="S110" s="7">
        <f t="shared" si="37"/>
        <v>4.5758927650140853e-16</v>
      </c>
      <c r="T110" s="7">
        <f t="shared" si="38"/>
        <v>4.5758927650140853e-16</v>
      </c>
      <c r="U110" s="7">
        <f t="shared" si="39"/>
        <v>8.7283804243744818</v>
      </c>
      <c r="V110" s="7">
        <f t="shared" si="40"/>
        <v>8.7283804243744818</v>
      </c>
      <c r="W110" s="7">
        <f t="shared" si="41"/>
        <v>-1.4160691186944143</v>
      </c>
      <c r="X110" s="7">
        <f t="shared" si="42"/>
        <v>8.8425039769017708</v>
      </c>
      <c r="Y110" s="7">
        <f t="shared" si="43"/>
        <v>1.2689999999999999</v>
      </c>
    </row>
    <row r="111" ht="14.25">
      <c r="A111">
        <v>49</v>
      </c>
      <c r="B111">
        <f t="shared" si="25"/>
        <v>14.699999999999999</v>
      </c>
      <c r="E111">
        <f t="shared" si="26"/>
        <v>0.7790999999999999</v>
      </c>
      <c r="F111">
        <f t="shared" si="27"/>
        <v>0.7790999999999999</v>
      </c>
      <c r="G111">
        <f t="shared" si="28"/>
        <v>2.4753158904397905</v>
      </c>
      <c r="H111">
        <f t="shared" si="29"/>
        <v>2.4753158904397905</v>
      </c>
      <c r="I111">
        <f t="shared" si="30"/>
        <v>0.57823913210008293</v>
      </c>
      <c r="J111">
        <f t="shared" si="31"/>
        <v>2.5419577595537639</v>
      </c>
      <c r="K111" s="6">
        <f t="shared" si="32"/>
        <v>0.18176399999999998</v>
      </c>
      <c r="N111" s="6">
        <f t="shared" si="33"/>
        <v>88.200000000000003</v>
      </c>
      <c r="O111" s="6">
        <f t="shared" si="34"/>
        <v>140.93042501156816</v>
      </c>
      <c r="P111" s="7">
        <f t="shared" si="35"/>
        <v>4.4289170300161036</v>
      </c>
      <c r="Q111" s="7"/>
      <c r="R111" s="7">
        <f t="shared" si="36"/>
        <v>8.7246929499875936</v>
      </c>
      <c r="S111" s="7">
        <f t="shared" si="37"/>
        <v>0.23473260259085349</v>
      </c>
      <c r="T111" s="7">
        <f t="shared" si="38"/>
        <v>0.23473260259085349</v>
      </c>
      <c r="U111" s="7">
        <f t="shared" si="39"/>
        <v>8.7728794064066555</v>
      </c>
      <c r="V111" s="7">
        <f t="shared" si="40"/>
        <v>8.7728794064066555</v>
      </c>
      <c r="W111" s="7">
        <f t="shared" si="41"/>
        <v>-1.1806377714755341</v>
      </c>
      <c r="X111" s="7">
        <f t="shared" si="42"/>
        <v>8.8519669354776003</v>
      </c>
      <c r="Y111" s="7">
        <f t="shared" si="43"/>
        <v>1.2721188400604002</v>
      </c>
    </row>
    <row r="112" ht="14.25">
      <c r="A112">
        <v>48</v>
      </c>
      <c r="B112">
        <f t="shared" si="25"/>
        <v>14.4</v>
      </c>
      <c r="E112">
        <f t="shared" si="26"/>
        <v>0.76319999999999999</v>
      </c>
      <c r="F112">
        <f t="shared" si="27"/>
        <v>0.76319999999999999</v>
      </c>
      <c r="G112">
        <f t="shared" si="28"/>
        <v>2.4720519013364166</v>
      </c>
      <c r="H112">
        <f t="shared" si="29"/>
        <v>2.4720519013364166</v>
      </c>
      <c r="I112">
        <f t="shared" si="30"/>
        <v>0.56233913210008302</v>
      </c>
      <c r="J112">
        <f t="shared" si="31"/>
        <v>2.5352052978786683</v>
      </c>
      <c r="K112" s="6">
        <f t="shared" si="32"/>
        <v>0.181728</v>
      </c>
      <c r="N112" s="6">
        <f t="shared" si="33"/>
        <v>86.400000000000006</v>
      </c>
      <c r="O112" s="6">
        <f t="shared" si="34"/>
        <v>140.72176870838629</v>
      </c>
      <c r="P112" s="7">
        <f t="shared" si="35"/>
        <v>8.8534632536331763</v>
      </c>
      <c r="Q112" s="7"/>
      <c r="R112" s="7">
        <f t="shared" si="36"/>
        <v>8.713634165918954</v>
      </c>
      <c r="S112" s="7">
        <f t="shared" si="37"/>
        <v>0.46923355244255832</v>
      </c>
      <c r="T112" s="7">
        <f t="shared" si="38"/>
        <v>0.46923355244255832</v>
      </c>
      <c r="U112" s="7">
        <f t="shared" si="39"/>
        <v>8.8099595245422133</v>
      </c>
      <c r="V112" s="7">
        <f t="shared" si="40"/>
        <v>8.8099595245422133</v>
      </c>
      <c r="W112" s="7">
        <f t="shared" si="41"/>
        <v>-0.94404127731633425</v>
      </c>
      <c r="X112" s="7">
        <f t="shared" si="42"/>
        <v>8.8603950677917922</v>
      </c>
      <c r="Y112" s="7">
        <f t="shared" si="43"/>
        <v>1.2739711684249526</v>
      </c>
    </row>
    <row r="113" ht="14.25">
      <c r="A113">
        <v>47</v>
      </c>
      <c r="B113">
        <f t="shared" si="25"/>
        <v>14.1</v>
      </c>
      <c r="E113">
        <f t="shared" si="26"/>
        <v>0.74729999999999996</v>
      </c>
      <c r="F113">
        <f t="shared" si="27"/>
        <v>0.74729999999999996</v>
      </c>
      <c r="G113">
        <f t="shared" si="28"/>
        <v>2.4687879122330432</v>
      </c>
      <c r="H113">
        <f t="shared" si="29"/>
        <v>2.4687879122330432</v>
      </c>
      <c r="I113">
        <f t="shared" si="30"/>
        <v>0.54643913210008299</v>
      </c>
      <c r="J113">
        <f t="shared" si="31"/>
        <v>2.5285390012175566</v>
      </c>
      <c r="K113" s="6">
        <f t="shared" si="32"/>
        <v>0.18169199999999999</v>
      </c>
      <c r="N113" s="6">
        <f t="shared" si="33"/>
        <v>84.599999999999994</v>
      </c>
      <c r="O113" s="6">
        <f t="shared" si="34"/>
        <v>140.37423700903429</v>
      </c>
      <c r="P113" s="7">
        <f t="shared" si="35"/>
        <v>13.269272177910546</v>
      </c>
      <c r="Q113" s="7"/>
      <c r="R113" s="7">
        <f t="shared" si="36"/>
        <v>8.6952149858532994</v>
      </c>
      <c r="S113" s="7">
        <f t="shared" si="37"/>
        <v>0.70327142542925891</v>
      </c>
      <c r="T113" s="7">
        <f t="shared" si="38"/>
        <v>0.70327142542925891</v>
      </c>
      <c r="U113" s="7">
        <f t="shared" si="39"/>
        <v>8.8395841851812964</v>
      </c>
      <c r="V113" s="7">
        <f t="shared" si="40"/>
        <v>8.8395841851812964</v>
      </c>
      <c r="W113" s="7">
        <f t="shared" si="41"/>
        <v>-0.70651312839190505</v>
      </c>
      <c r="X113" s="7">
        <f t="shared" si="42"/>
        <v>8.8677736420985287</v>
      </c>
      <c r="Y113" s="7">
        <f t="shared" si="43"/>
        <v>1.274544116827145</v>
      </c>
    </row>
    <row r="114" ht="14.25">
      <c r="A114">
        <v>46</v>
      </c>
      <c r="B114">
        <f t="shared" si="25"/>
        <v>13.800000000000001</v>
      </c>
      <c r="E114">
        <f t="shared" si="26"/>
        <v>0.73140000000000005</v>
      </c>
      <c r="F114">
        <f t="shared" si="27"/>
        <v>0.73140000000000005</v>
      </c>
      <c r="G114">
        <f t="shared" si="28"/>
        <v>2.4655239231296697</v>
      </c>
      <c r="H114">
        <f t="shared" si="29"/>
        <v>2.4655239231296697</v>
      </c>
      <c r="I114">
        <f t="shared" si="30"/>
        <v>0.53053913210008308</v>
      </c>
      <c r="J114">
        <f t="shared" si="31"/>
        <v>2.5219595528505661</v>
      </c>
      <c r="K114" s="6">
        <f t="shared" si="32"/>
        <v>0.18165599999999998</v>
      </c>
      <c r="N114" s="6">
        <f t="shared" si="33"/>
        <v>82.799999999999997</v>
      </c>
      <c r="O114" s="6">
        <f t="shared" si="34"/>
        <v>139.88817288534136</v>
      </c>
      <c r="P114" s="7">
        <f t="shared" si="35"/>
        <v>17.671985932566933</v>
      </c>
      <c r="Q114" s="7"/>
      <c r="R114" s="7">
        <f t="shared" si="36"/>
        <v>8.6694535872975731</v>
      </c>
      <c r="S114" s="7">
        <f t="shared" si="37"/>
        <v>0.93661525442604743</v>
      </c>
      <c r="T114" s="7">
        <f t="shared" si="38"/>
        <v>0.93661525442604743</v>
      </c>
      <c r="U114" s="7">
        <f t="shared" si="39"/>
        <v>8.8617241523604768</v>
      </c>
      <c r="V114" s="7">
        <f t="shared" si="40"/>
        <v>8.8617241523604768</v>
      </c>
      <c r="W114" s="7">
        <f t="shared" si="41"/>
        <v>-0.4682877363081176</v>
      </c>
      <c r="X114" s="7">
        <f t="shared" si="42"/>
        <v>8.8740885930052329</v>
      </c>
      <c r="Y114" s="7">
        <f t="shared" si="43"/>
        <v>1.2738261669082458</v>
      </c>
    </row>
    <row r="115" ht="14.25">
      <c r="A115">
        <v>45</v>
      </c>
      <c r="B115">
        <f t="shared" si="25"/>
        <v>13.5</v>
      </c>
      <c r="E115">
        <f t="shared" si="26"/>
        <v>0.71550000000000002</v>
      </c>
      <c r="F115">
        <f t="shared" si="27"/>
        <v>0.71550000000000002</v>
      </c>
      <c r="G115">
        <f t="shared" si="28"/>
        <v>2.4622599340262958</v>
      </c>
      <c r="H115">
        <f t="shared" si="29"/>
        <v>2.4622599340262958</v>
      </c>
      <c r="I115">
        <f t="shared" si="30"/>
        <v>0.51463913210008305</v>
      </c>
      <c r="J115">
        <f t="shared" si="31"/>
        <v>2.5154676342580728</v>
      </c>
      <c r="K115" s="6">
        <f t="shared" si="32"/>
        <v>0.18162</v>
      </c>
      <c r="N115" s="6">
        <f t="shared" si="33"/>
        <v>81</v>
      </c>
      <c r="O115" s="6">
        <f t="shared" si="34"/>
        <v>139.26405602391443</v>
      </c>
      <c r="P115" s="7">
        <f t="shared" si="35"/>
        <v>22.05725957067256</v>
      </c>
      <c r="Q115" s="7"/>
      <c r="R115" s="7">
        <f t="shared" si="36"/>
        <v>8.6363753936419467</v>
      </c>
      <c r="S115" s="7">
        <f t="shared" si="37"/>
        <v>1.1690347572456457</v>
      </c>
      <c r="T115" s="7">
        <f t="shared" si="38"/>
        <v>1.1690347572456457</v>
      </c>
      <c r="U115" s="7">
        <f t="shared" si="39"/>
        <v>8.8763575766051446</v>
      </c>
      <c r="V115" s="7">
        <f t="shared" si="40"/>
        <v>8.8763575766051446</v>
      </c>
      <c r="W115" s="7">
        <f t="shared" si="41"/>
        <v>-0.22960020076566034</v>
      </c>
      <c r="X115" s="7">
        <f t="shared" si="42"/>
        <v>8.8793265555416525</v>
      </c>
      <c r="Y115" s="7">
        <f t="shared" si="43"/>
        <v>1.2718072048107349</v>
      </c>
    </row>
    <row r="116" ht="14.25">
      <c r="A116">
        <v>44</v>
      </c>
      <c r="B116">
        <f t="shared" si="25"/>
        <v>13.199999999999999</v>
      </c>
      <c r="E116">
        <f t="shared" si="26"/>
        <v>0.69959999999999989</v>
      </c>
      <c r="F116">
        <f t="shared" si="27"/>
        <v>0.69959999999999989</v>
      </c>
      <c r="G116">
        <f t="shared" si="28"/>
        <v>2.458995944922922</v>
      </c>
      <c r="H116">
        <f t="shared" si="29"/>
        <v>2.458995944922922</v>
      </c>
      <c r="I116">
        <f t="shared" si="30"/>
        <v>0.49873913210008292</v>
      </c>
      <c r="J116">
        <f t="shared" si="31"/>
        <v>2.5090639248602891</v>
      </c>
      <c r="K116" s="6">
        <f t="shared" si="32"/>
        <v>0.181584</v>
      </c>
      <c r="N116" s="6">
        <f t="shared" si="33"/>
        <v>79.200000000000003</v>
      </c>
      <c r="O116" s="6">
        <f t="shared" si="34"/>
        <v>138.5025023527451</v>
      </c>
      <c r="P116" s="7">
        <f t="shared" si="35"/>
        <v>26.420765356587189</v>
      </c>
      <c r="Q116" s="7"/>
      <c r="R116" s="7">
        <f t="shared" si="36"/>
        <v>8.5960130490699722</v>
      </c>
      <c r="S116" s="7">
        <f t="shared" si="37"/>
        <v>1.4003005638991211</v>
      </c>
      <c r="T116" s="7">
        <f t="shared" si="38"/>
        <v>1.4003005638991211</v>
      </c>
      <c r="U116" s="7">
        <f t="shared" si="39"/>
        <v>8.8834700164922804</v>
      </c>
      <c r="V116" s="7">
        <f t="shared" si="40"/>
        <v>8.8834700164922804</v>
      </c>
      <c r="W116" s="7">
        <f t="shared" si="41"/>
        <v>0.0093139224549871891</v>
      </c>
      <c r="X116" s="7">
        <f t="shared" si="42"/>
        <v>8.8834748991072665</v>
      </c>
      <c r="Y116" s="7">
        <f t="shared" si="43"/>
        <v>1.268478573870478</v>
      </c>
    </row>
    <row r="117" ht="14.25">
      <c r="A117">
        <v>43</v>
      </c>
      <c r="B117">
        <f t="shared" si="25"/>
        <v>12.9</v>
      </c>
      <c r="E117">
        <f t="shared" si="26"/>
        <v>0.68369999999999997</v>
      </c>
      <c r="F117">
        <f t="shared" si="27"/>
        <v>0.68369999999999997</v>
      </c>
      <c r="G117">
        <f t="shared" si="28"/>
        <v>2.4557319558195485</v>
      </c>
      <c r="H117">
        <f t="shared" si="29"/>
        <v>2.4557319558195485</v>
      </c>
      <c r="I117">
        <f t="shared" si="30"/>
        <v>0.482839132100083</v>
      </c>
      <c r="J117">
        <f t="shared" si="31"/>
        <v>2.5027491017520047</v>
      </c>
      <c r="K117" s="6">
        <f t="shared" si="32"/>
        <v>0.18154799999999999</v>
      </c>
      <c r="N117" s="6">
        <f t="shared" si="33"/>
        <v>77.400000000000006</v>
      </c>
      <c r="O117" s="6">
        <f t="shared" si="34"/>
        <v>137.6042634333634</v>
      </c>
      <c r="P117" s="7">
        <f t="shared" si="35"/>
        <v>30.758197036912488</v>
      </c>
      <c r="Q117" s="7"/>
      <c r="R117" s="7">
        <f t="shared" si="36"/>
        <v>8.5484063863427409</v>
      </c>
      <c r="S117" s="7">
        <f t="shared" si="37"/>
        <v>1.6301844429563619</v>
      </c>
      <c r="T117" s="7">
        <f t="shared" si="38"/>
        <v>1.6301844429563619</v>
      </c>
      <c r="U117" s="7">
        <f t="shared" si="39"/>
        <v>8.8830544529024138</v>
      </c>
      <c r="V117" s="7">
        <f t="shared" si="40"/>
        <v>8.8830544529024138</v>
      </c>
      <c r="W117" s="7">
        <f t="shared" si="41"/>
        <v>0.24821885395865251</v>
      </c>
      <c r="X117" s="7">
        <f t="shared" si="42"/>
        <v>8.8865217612230012</v>
      </c>
      <c r="Y117" s="7">
        <f t="shared" si="43"/>
        <v>1.2638331251870862</v>
      </c>
    </row>
    <row r="118" ht="14.25">
      <c r="A118">
        <v>42</v>
      </c>
      <c r="B118">
        <f t="shared" si="25"/>
        <v>12.6</v>
      </c>
      <c r="E118">
        <f t="shared" si="26"/>
        <v>0.66779999999999995</v>
      </c>
      <c r="F118">
        <f t="shared" si="27"/>
        <v>0.66779999999999995</v>
      </c>
      <c r="G118">
        <f t="shared" si="28"/>
        <v>2.4524679667161751</v>
      </c>
      <c r="H118">
        <f t="shared" si="29"/>
        <v>2.4524679667161751</v>
      </c>
      <c r="I118">
        <f t="shared" si="30"/>
        <v>0.46693913210008298</v>
      </c>
      <c r="J118">
        <f t="shared" si="31"/>
        <v>2.4965238394326117</v>
      </c>
      <c r="K118" s="6">
        <f t="shared" si="32"/>
        <v>0.18151199999999998</v>
      </c>
      <c r="N118" s="6">
        <f t="shared" si="33"/>
        <v>75.599999999999994</v>
      </c>
      <c r="O118" s="6">
        <f t="shared" si="34"/>
        <v>136.57022571913697</v>
      </c>
      <c r="P118" s="7">
        <f t="shared" si="35"/>
        <v>35.06527409024455</v>
      </c>
      <c r="Q118" s="7"/>
      <c r="R118" s="7">
        <f t="shared" si="36"/>
        <v>8.4936023874887407</v>
      </c>
      <c r="S118" s="7">
        <f t="shared" si="37"/>
        <v>1.8584595267829611</v>
      </c>
      <c r="T118" s="7">
        <f t="shared" si="38"/>
        <v>1.8584595267829611</v>
      </c>
      <c r="U118" s="7">
        <f t="shared" si="39"/>
        <v>8.8751112959466365</v>
      </c>
      <c r="V118" s="7">
        <f t="shared" si="40"/>
        <v>8.8751112959466365</v>
      </c>
      <c r="W118" s="7">
        <f t="shared" si="41"/>
        <v>0.48687882342128996</v>
      </c>
      <c r="X118" s="7">
        <f t="shared" si="42"/>
        <v>8.8884560810151765</v>
      </c>
      <c r="Y118" s="7">
        <f t="shared" si="43"/>
        <v>1.2578652658566813</v>
      </c>
    </row>
    <row r="119" ht="14.25">
      <c r="A119">
        <v>41</v>
      </c>
      <c r="B119">
        <f t="shared" si="25"/>
        <v>12.300000000000001</v>
      </c>
      <c r="E119">
        <f t="shared" si="26"/>
        <v>0.65190000000000003</v>
      </c>
      <c r="F119">
        <f t="shared" si="27"/>
        <v>0.65190000000000003</v>
      </c>
      <c r="G119">
        <f t="shared" si="28"/>
        <v>2.4492039776128012</v>
      </c>
      <c r="H119">
        <f t="shared" si="29"/>
        <v>2.4492039776128012</v>
      </c>
      <c r="I119">
        <f t="shared" si="30"/>
        <v>0.45103913210008306</v>
      </c>
      <c r="J119">
        <f t="shared" si="31"/>
        <v>2.4903888095315483</v>
      </c>
      <c r="K119" s="6">
        <f t="shared" si="32"/>
        <v>0.181476</v>
      </c>
      <c r="N119" s="6">
        <f t="shared" si="33"/>
        <v>73.799999999999997</v>
      </c>
      <c r="O119" s="6">
        <f t="shared" si="34"/>
        <v>135.40140968044895</v>
      </c>
      <c r="P119" s="7">
        <f t="shared" si="35"/>
        <v>39.33774595153136</v>
      </c>
      <c r="Q119" s="7"/>
      <c r="R119" s="7">
        <f t="shared" si="36"/>
        <v>8.4316551374382751</v>
      </c>
      <c r="S119" s="7">
        <f t="shared" si="37"/>
        <v>2.0849005354311618</v>
      </c>
      <c r="T119" s="7">
        <f t="shared" si="38"/>
        <v>2.0849005354311618</v>
      </c>
      <c r="U119" s="7">
        <f t="shared" si="39"/>
        <v>8.8596483845618721</v>
      </c>
      <c r="V119" s="7">
        <f t="shared" si="40"/>
        <v>8.8596483845618721</v>
      </c>
      <c r="W119" s="7">
        <f t="shared" si="41"/>
        <v>0.72505830226680179</v>
      </c>
      <c r="X119" s="7">
        <f t="shared" si="42"/>
        <v>8.889267632361836</v>
      </c>
      <c r="Y119" s="7">
        <f t="shared" si="43"/>
        <v>1.2505710046569727</v>
      </c>
    </row>
    <row r="120" ht="14.25">
      <c r="A120">
        <v>40</v>
      </c>
      <c r="B120">
        <f t="shared" si="25"/>
        <v>12</v>
      </c>
      <c r="E120">
        <f t="shared" si="26"/>
        <v>0.63600000000000001</v>
      </c>
      <c r="F120">
        <f t="shared" si="27"/>
        <v>0.63600000000000001</v>
      </c>
      <c r="G120">
        <f t="shared" si="28"/>
        <v>2.4459399885094277</v>
      </c>
      <c r="H120">
        <f t="shared" si="29"/>
        <v>2.4459399885094277</v>
      </c>
      <c r="I120">
        <f t="shared" si="30"/>
        <v>0.43513913210008304</v>
      </c>
      <c r="J120">
        <f t="shared" si="31"/>
        <v>2.484344680529317</v>
      </c>
      <c r="K120" s="6">
        <f t="shared" si="32"/>
        <v>0.18143999999999999</v>
      </c>
      <c r="N120" s="6">
        <f t="shared" si="33"/>
        <v>72</v>
      </c>
      <c r="O120" s="6">
        <f t="shared" si="34"/>
        <v>134.09896879761664</v>
      </c>
      <c r="P120" s="7">
        <f t="shared" si="35"/>
        <v>43.57139620686759</v>
      </c>
      <c r="Q120" s="7"/>
      <c r="R120" s="7">
        <f t="shared" si="36"/>
        <v>8.3626257706481635</v>
      </c>
      <c r="S120" s="7">
        <f t="shared" si="37"/>
        <v>2.3092839989639824</v>
      </c>
      <c r="T120" s="7">
        <f t="shared" si="38"/>
        <v>2.3092839989639824</v>
      </c>
      <c r="U120" s="7">
        <f t="shared" si="39"/>
        <v>8.8366809787748029</v>
      </c>
      <c r="V120" s="7">
        <f t="shared" si="40"/>
        <v>8.8366809787748029</v>
      </c>
      <c r="W120" s="7">
        <f t="shared" si="41"/>
        <v>0.96252223610532406</v>
      </c>
      <c r="X120" s="7">
        <f t="shared" si="42"/>
        <v>8.8889470566337376</v>
      </c>
      <c r="Y120" s="7">
        <f t="shared" si="43"/>
        <v>1.2419479949810297</v>
      </c>
    </row>
    <row r="121" ht="14.25">
      <c r="A121">
        <v>39</v>
      </c>
      <c r="B121">
        <f t="shared" si="25"/>
        <v>11.699999999999999</v>
      </c>
      <c r="E121">
        <f t="shared" si="26"/>
        <v>0.62009999999999998</v>
      </c>
      <c r="F121">
        <f t="shared" si="27"/>
        <v>0.62009999999999998</v>
      </c>
      <c r="G121">
        <f t="shared" si="28"/>
        <v>2.4426759994060538</v>
      </c>
      <c r="H121">
        <f t="shared" si="29"/>
        <v>2.4426759994060538</v>
      </c>
      <c r="I121">
        <f t="shared" si="30"/>
        <v>0.41923913210008301</v>
      </c>
      <c r="J121">
        <f t="shared" si="31"/>
        <v>2.4783921174742294</v>
      </c>
      <c r="K121" s="6">
        <f t="shared" si="32"/>
        <v>0.18140399999999998</v>
      </c>
      <c r="N121" s="6">
        <f t="shared" si="33"/>
        <v>70.200000000000003</v>
      </c>
      <c r="O121" s="6">
        <f t="shared" si="34"/>
        <v>132.66418842254578</v>
      </c>
      <c r="P121" s="7">
        <f t="shared" si="35"/>
        <v>47.762046754586102</v>
      </c>
      <c r="Q121" s="7"/>
      <c r="R121" s="7">
        <f t="shared" si="36"/>
        <v>8.286582410769407</v>
      </c>
      <c r="S121" s="7">
        <f t="shared" si="37"/>
        <v>2.5313884779930635</v>
      </c>
      <c r="T121" s="7">
        <f t="shared" si="38"/>
        <v>2.5313884779930635</v>
      </c>
      <c r="U121" s="7">
        <f t="shared" si="39"/>
        <v>8.8062317446420462</v>
      </c>
      <c r="V121" s="7">
        <f t="shared" si="40"/>
        <v>8.8062317446420462</v>
      </c>
      <c r="W121" s="7">
        <f t="shared" si="41"/>
        <v>1.1990362767035301</v>
      </c>
      <c r="X121" s="7">
        <f t="shared" si="42"/>
        <v>8.8874858949644668</v>
      </c>
      <c r="Y121" s="7">
        <f t="shared" si="43"/>
        <v>1.231995574823493</v>
      </c>
    </row>
    <row r="122" ht="14.25">
      <c r="A122">
        <v>38</v>
      </c>
      <c r="B122">
        <f t="shared" si="25"/>
        <v>11.4</v>
      </c>
      <c r="E122">
        <f t="shared" si="26"/>
        <v>0.60419999999999996</v>
      </c>
      <c r="F122">
        <f t="shared" si="27"/>
        <v>0.60419999999999996</v>
      </c>
      <c r="G122">
        <f t="shared" si="28"/>
        <v>2.4394120103026804</v>
      </c>
      <c r="H122">
        <f t="shared" si="29"/>
        <v>2.4394120103026804</v>
      </c>
      <c r="I122">
        <f t="shared" si="30"/>
        <v>0.40333913210008299</v>
      </c>
      <c r="J122">
        <f t="shared" si="31"/>
        <v>2.4725317816950731</v>
      </c>
      <c r="K122" s="6">
        <f t="shared" si="32"/>
        <v>0.18136799999999997</v>
      </c>
      <c r="N122" s="6">
        <f t="shared" si="33"/>
        <v>68.400000000000006</v>
      </c>
      <c r="O122" s="6">
        <f t="shared" si="34"/>
        <v>131.09848451024345</v>
      </c>
      <c r="P122" s="7">
        <f t="shared" si="35"/>
        <v>51.905561928539612</v>
      </c>
      <c r="Q122" s="7"/>
      <c r="R122" s="7">
        <f t="shared" si="36"/>
        <v>8.2036001034173847</v>
      </c>
      <c r="S122" s="7">
        <f t="shared" si="37"/>
        <v>2.7509947822125995</v>
      </c>
      <c r="T122" s="7">
        <f t="shared" si="38"/>
        <v>2.7509947822125995</v>
      </c>
      <c r="U122" s="7">
        <f t="shared" si="39"/>
        <v>8.768330731881516</v>
      </c>
      <c r="V122" s="7">
        <f t="shared" si="40"/>
        <v>8.768330731881516</v>
      </c>
      <c r="W122" s="7">
        <f t="shared" si="41"/>
        <v>1.4343670132580333</v>
      </c>
      <c r="X122" s="7">
        <f t="shared" si="42"/>
        <v>8.8848766199863807</v>
      </c>
      <c r="Y122" s="7">
        <f t="shared" si="43"/>
        <v>1.220714803631096</v>
      </c>
    </row>
    <row r="123" ht="14.25">
      <c r="A123">
        <v>37</v>
      </c>
      <c r="B123">
        <f t="shared" si="25"/>
        <v>11.1</v>
      </c>
      <c r="E123">
        <f t="shared" si="26"/>
        <v>0.58829999999999993</v>
      </c>
      <c r="F123">
        <f t="shared" si="27"/>
        <v>0.58829999999999993</v>
      </c>
      <c r="G123">
        <f t="shared" si="28"/>
        <v>2.4361480211993065</v>
      </c>
      <c r="H123">
        <f t="shared" si="29"/>
        <v>2.4361480211993065</v>
      </c>
      <c r="I123">
        <f t="shared" si="30"/>
        <v>0.38743913210008296</v>
      </c>
      <c r="J123">
        <f t="shared" si="31"/>
        <v>2.4667643305098608</v>
      </c>
      <c r="K123" s="6">
        <f t="shared" si="32"/>
        <v>0.18133199999999999</v>
      </c>
      <c r="N123" s="6">
        <f t="shared" si="33"/>
        <v>66.599999999999994</v>
      </c>
      <c r="O123" s="6">
        <f t="shared" si="34"/>
        <v>129.40340222144135</v>
      </c>
      <c r="P123" s="7">
        <f t="shared" si="35"/>
        <v>55.997852579504062</v>
      </c>
      <c r="Q123" s="7"/>
      <c r="R123" s="7">
        <f t="shared" si="36"/>
        <v>8.1137607421108733</v>
      </c>
      <c r="S123" s="7">
        <f t="shared" si="37"/>
        <v>2.9678861867137152</v>
      </c>
      <c r="T123" s="7">
        <f t="shared" si="38"/>
        <v>2.9678861867137152</v>
      </c>
      <c r="U123" s="7">
        <f t="shared" si="39"/>
        <v>8.7230153442169573</v>
      </c>
      <c r="V123" s="7">
        <f t="shared" si="40"/>
        <v>8.7230153442169573</v>
      </c>
      <c r="W123" s="7">
        <f t="shared" si="41"/>
        <v>1.6682822027436772</v>
      </c>
      <c r="X123" s="7">
        <f t="shared" si="42"/>
        <v>8.8811126669711715</v>
      </c>
      <c r="Y123" s="7">
        <f t="shared" si="43"/>
        <v>1.2081084958382675</v>
      </c>
    </row>
    <row r="124" ht="14.25">
      <c r="A124">
        <v>36</v>
      </c>
      <c r="B124">
        <f t="shared" si="25"/>
        <v>10.800000000000001</v>
      </c>
      <c r="E124">
        <f t="shared" si="26"/>
        <v>0.57240000000000002</v>
      </c>
      <c r="F124">
        <f t="shared" si="27"/>
        <v>0.57240000000000002</v>
      </c>
      <c r="G124">
        <f t="shared" si="28"/>
        <v>2.4328840320959331</v>
      </c>
      <c r="H124">
        <f t="shared" si="29"/>
        <v>2.4328840320959331</v>
      </c>
      <c r="I124">
        <f t="shared" si="30"/>
        <v>0.37153913210008305</v>
      </c>
      <c r="J124">
        <f t="shared" si="31"/>
        <v>2.4610904169308871</v>
      </c>
      <c r="K124" s="6">
        <f t="shared" si="32"/>
        <v>0.18129600000000001</v>
      </c>
      <c r="N124" s="6">
        <f t="shared" si="33"/>
        <v>64.799999999999997</v>
      </c>
      <c r="O124" s="6">
        <f t="shared" si="34"/>
        <v>127.58061439770876</v>
      </c>
      <c r="P124" s="7">
        <f t="shared" si="35"/>
        <v>60.034880110675246</v>
      </c>
      <c r="Q124" s="7"/>
      <c r="R124" s="7">
        <f t="shared" si="36"/>
        <v>8.0171529874530449</v>
      </c>
      <c r="S124" s="7">
        <f t="shared" si="37"/>
        <v>3.181848645865788</v>
      </c>
      <c r="T124" s="7">
        <f t="shared" si="38"/>
        <v>3.181848645865788</v>
      </c>
      <c r="U124" s="7">
        <f t="shared" si="39"/>
        <v>8.670330302465004</v>
      </c>
      <c r="V124" s="7">
        <f t="shared" si="40"/>
        <v>8.670330302465004</v>
      </c>
      <c r="W124" s="7">
        <f t="shared" si="41"/>
        <v>1.9005509991093665</v>
      </c>
      <c r="X124" s="7">
        <f t="shared" si="42"/>
        <v>8.8761884643161171</v>
      </c>
      <c r="Y124" s="7">
        <f t="shared" si="43"/>
        <v>1.1941812509182552</v>
      </c>
    </row>
    <row r="125" ht="14.25">
      <c r="A125">
        <v>35</v>
      </c>
      <c r="B125">
        <f t="shared" si="25"/>
        <v>10.5</v>
      </c>
      <c r="E125">
        <f t="shared" si="26"/>
        <v>0.55649999999999999</v>
      </c>
      <c r="F125">
        <f t="shared" si="27"/>
        <v>0.55649999999999999</v>
      </c>
      <c r="G125">
        <f t="shared" si="28"/>
        <v>2.4296200429925592</v>
      </c>
      <c r="H125">
        <f t="shared" si="29"/>
        <v>2.4296200429925592</v>
      </c>
      <c r="I125">
        <f t="shared" si="30"/>
        <v>0.35563913210008302</v>
      </c>
      <c r="J125">
        <f t="shared" si="31"/>
        <v>2.4555106893662804</v>
      </c>
      <c r="K125" s="6">
        <f t="shared" si="32"/>
        <v>0.18125999999999998</v>
      </c>
      <c r="N125" s="6">
        <f t="shared" si="33"/>
        <v>63</v>
      </c>
      <c r="O125" s="6">
        <f t="shared" si="34"/>
        <v>125.63191991055986</v>
      </c>
      <c r="P125" s="7">
        <f t="shared" si="35"/>
        <v>64.012660463276106</v>
      </c>
      <c r="Q125" s="7"/>
      <c r="R125" s="7">
        <f t="shared" si="36"/>
        <v>7.9138721796341533</v>
      </c>
      <c r="S125" s="7">
        <f t="shared" si="37"/>
        <v>3.3926710045536335</v>
      </c>
      <c r="T125" s="7">
        <f t="shared" si="38"/>
        <v>3.3926710045536335</v>
      </c>
      <c r="U125" s="7">
        <f t="shared" si="39"/>
        <v>8.6103276004011224</v>
      </c>
      <c r="V125" s="7">
        <f t="shared" si="40"/>
        <v>8.6103276004011224</v>
      </c>
      <c r="W125" s="7">
        <f t="shared" si="41"/>
        <v>2.1309441810952379</v>
      </c>
      <c r="X125" s="7">
        <f t="shared" si="42"/>
        <v>8.8700994633190557</v>
      </c>
      <c r="Y125" s="7">
        <f t="shared" si="43"/>
        <v>1.1789394797905439</v>
      </c>
    </row>
    <row r="126" ht="14.25">
      <c r="A126">
        <v>34</v>
      </c>
      <c r="B126">
        <f t="shared" si="25"/>
        <v>10.199999999999999</v>
      </c>
      <c r="E126">
        <f t="shared" si="26"/>
        <v>0.54059999999999997</v>
      </c>
      <c r="F126">
        <f t="shared" si="27"/>
        <v>0.54059999999999997</v>
      </c>
      <c r="G126">
        <f t="shared" si="28"/>
        <v>2.4263560538891857</v>
      </c>
      <c r="H126">
        <f t="shared" si="29"/>
        <v>2.4263560538891857</v>
      </c>
      <c r="I126">
        <f t="shared" si="30"/>
        <v>0.339739132100083</v>
      </c>
      <c r="J126">
        <f t="shared" si="31"/>
        <v>2.450025791318291</v>
      </c>
      <c r="K126" s="6">
        <f t="shared" si="32"/>
        <v>0.181224</v>
      </c>
      <c r="N126" s="6">
        <f t="shared" si="33"/>
        <v>61.200000000000003</v>
      </c>
      <c r="O126" s="6">
        <f t="shared" si="34"/>
        <v>123.55924188618478</v>
      </c>
      <c r="P126" s="7">
        <f t="shared" si="35"/>
        <v>67.927268048341844</v>
      </c>
      <c r="Q126" s="7"/>
      <c r="R126" s="7">
        <f t="shared" si="36"/>
        <v>7.8040202443422739</v>
      </c>
      <c r="S126" s="7">
        <f t="shared" si="37"/>
        <v>3.6001452065621176</v>
      </c>
      <c r="T126" s="7">
        <f t="shared" si="38"/>
        <v>3.6001452065621176</v>
      </c>
      <c r="U126" s="7">
        <f t="shared" si="39"/>
        <v>8.5430664534480378</v>
      </c>
      <c r="V126" s="7">
        <f t="shared" si="40"/>
        <v>8.5430664534480378</v>
      </c>
      <c r="W126" s="7">
        <f t="shared" si="41"/>
        <v>2.359234378446375</v>
      </c>
      <c r="X126" s="7">
        <f t="shared" si="42"/>
        <v>8.8628421671872548</v>
      </c>
      <c r="Y126" s="7">
        <f t="shared" si="43"/>
        <v>1.1623914274363796</v>
      </c>
    </row>
    <row r="127" ht="14.25">
      <c r="A127">
        <v>33</v>
      </c>
      <c r="B127">
        <f t="shared" si="25"/>
        <v>9.9000000000000004</v>
      </c>
      <c r="E127">
        <f t="shared" si="26"/>
        <v>0.52470000000000006</v>
      </c>
      <c r="F127">
        <f t="shared" si="27"/>
        <v>0.52470000000000006</v>
      </c>
      <c r="G127">
        <f t="shared" si="28"/>
        <v>2.4230920647858118</v>
      </c>
      <c r="H127">
        <f t="shared" si="29"/>
        <v>2.4230920647858118</v>
      </c>
      <c r="I127">
        <f t="shared" si="30"/>
        <v>0.32383913210008308</v>
      </c>
      <c r="J127">
        <f t="shared" si="31"/>
        <v>2.4446363610785355</v>
      </c>
      <c r="K127" s="6">
        <f t="shared" si="32"/>
        <v>0.18118799999999999</v>
      </c>
      <c r="N127" s="6">
        <f t="shared" si="33"/>
        <v>59.399999999999999</v>
      </c>
      <c r="O127" s="6">
        <f t="shared" si="34"/>
        <v>121.36462580755605</v>
      </c>
      <c r="P127" s="7">
        <f t="shared" si="35"/>
        <v>71.774839620802339</v>
      </c>
      <c r="Q127" s="7"/>
      <c r="R127" s="7">
        <f t="shared" si="36"/>
        <v>7.687705592174952</v>
      </c>
      <c r="S127" s="7">
        <f t="shared" si="37"/>
        <v>3.804066499902524</v>
      </c>
      <c r="T127" s="7">
        <f t="shared" si="38"/>
        <v>3.804066499902524</v>
      </c>
      <c r="U127" s="7">
        <f t="shared" si="39"/>
        <v>8.4686132402372536</v>
      </c>
      <c r="V127" s="7">
        <f t="shared" si="40"/>
        <v>8.4686132402372536</v>
      </c>
      <c r="W127" s="7">
        <f t="shared" si="41"/>
        <v>2.5851962962998054</v>
      </c>
      <c r="X127" s="7">
        <f t="shared" si="42"/>
        <v>8.8544141592272467</v>
      </c>
      <c r="Y127" s="7">
        <f t="shared" si="43"/>
        <v>1.1445471915858607</v>
      </c>
    </row>
    <row r="128" ht="14.25">
      <c r="A128">
        <v>32</v>
      </c>
      <c r="B128">
        <f t="shared" si="25"/>
        <v>9.5999999999999996</v>
      </c>
      <c r="E128">
        <f t="shared" si="26"/>
        <v>0.50879999999999992</v>
      </c>
      <c r="F128">
        <f t="shared" si="27"/>
        <v>0.50879999999999992</v>
      </c>
      <c r="G128">
        <f t="shared" si="28"/>
        <v>2.4198280756824384</v>
      </c>
      <c r="H128">
        <f t="shared" si="29"/>
        <v>2.4198280756824384</v>
      </c>
      <c r="I128">
        <f t="shared" si="30"/>
        <v>0.30793913210008295</v>
      </c>
      <c r="J128">
        <f t="shared" si="31"/>
        <v>2.4393430314204529</v>
      </c>
      <c r="K128" s="6">
        <f t="shared" si="32"/>
        <v>0.18115200000000001</v>
      </c>
      <c r="N128" s="6">
        <f t="shared" si="33"/>
        <v>57.600000000000001</v>
      </c>
      <c r="O128" s="6">
        <f t="shared" si="34"/>
        <v>119.05023749578413</v>
      </c>
      <c r="P128" s="7">
        <f t="shared" si="35"/>
        <v>75.551578092038511</v>
      </c>
      <c r="Q128" s="7"/>
      <c r="R128" s="7">
        <f t="shared" si="36"/>
        <v>7.5650430116510394</v>
      </c>
      <c r="S128" s="7">
        <f t="shared" si="37"/>
        <v>4.0042336388780413</v>
      </c>
      <c r="T128" s="7">
        <f t="shared" si="38"/>
        <v>4.0042336388780413</v>
      </c>
      <c r="U128" s="7">
        <f t="shared" si="39"/>
        <v>8.3870414371013631</v>
      </c>
      <c r="V128" s="7">
        <f t="shared" si="40"/>
        <v>8.3870414371013631</v>
      </c>
      <c r="W128" s="7">
        <f t="shared" si="41"/>
        <v>2.8086069375233191</v>
      </c>
      <c r="X128" s="7">
        <f t="shared" si="42"/>
        <v>8.8448141301646022</v>
      </c>
      <c r="Y128" s="7">
        <f t="shared" si="43"/>
        <v>1.1254187373522879</v>
      </c>
    </row>
    <row r="129" ht="14.25">
      <c r="A129">
        <v>31</v>
      </c>
      <c r="B129">
        <f t="shared" si="25"/>
        <v>9.3000000000000007</v>
      </c>
      <c r="E129">
        <f t="shared" si="26"/>
        <v>0.4929</v>
      </c>
      <c r="F129">
        <f t="shared" si="27"/>
        <v>0.4929</v>
      </c>
      <c r="G129">
        <f t="shared" si="28"/>
        <v>2.416564086579065</v>
      </c>
      <c r="H129">
        <f t="shared" si="29"/>
        <v>2.416564086579065</v>
      </c>
      <c r="I129">
        <f t="shared" si="30"/>
        <v>0.29203913210008303</v>
      </c>
      <c r="J129">
        <f t="shared" si="31"/>
        <v>2.4341464292892243</v>
      </c>
      <c r="K129" s="6">
        <f t="shared" si="32"/>
        <v>0.181116</v>
      </c>
      <c r="N129" s="6">
        <f t="shared" si="33"/>
        <v>55.799999999999997</v>
      </c>
      <c r="O129" s="6">
        <f t="shared" si="34"/>
        <v>116.61836097271322</v>
      </c>
      <c r="P129" s="7">
        <f t="shared" si="35"/>
        <v>79.253756277150416</v>
      </c>
      <c r="Q129" s="7"/>
      <c r="R129" s="7">
        <f t="shared" si="36"/>
        <v>7.4361535559282812</v>
      </c>
      <c r="S129" s="7">
        <f t="shared" si="37"/>
        <v>4.200449082688972</v>
      </c>
      <c r="T129" s="7">
        <f t="shared" si="38"/>
        <v>4.200449082688972</v>
      </c>
      <c r="U129" s="7">
        <f t="shared" si="39"/>
        <v>8.2984315455617814</v>
      </c>
      <c r="V129" s="7">
        <f t="shared" si="40"/>
        <v>8.2984315455617814</v>
      </c>
      <c r="W129" s="7">
        <f t="shared" si="41"/>
        <v>3.0292458227867227</v>
      </c>
      <c r="X129" s="7">
        <f t="shared" si="42"/>
        <v>8.8340419045443586</v>
      </c>
      <c r="Y129" s="7">
        <f t="shared" si="43"/>
        <v>1.105019907702252</v>
      </c>
    </row>
    <row r="130" ht="14.25">
      <c r="A130">
        <v>30</v>
      </c>
      <c r="B130">
        <f t="shared" si="25"/>
        <v>9</v>
      </c>
      <c r="E130">
        <f t="shared" si="26"/>
        <v>0.47699999999999998</v>
      </c>
      <c r="F130">
        <f t="shared" si="27"/>
        <v>0.47699999999999998</v>
      </c>
      <c r="G130">
        <f t="shared" si="28"/>
        <v>2.4133000974756911</v>
      </c>
      <c r="H130">
        <f t="shared" si="29"/>
        <v>2.4133000974756911</v>
      </c>
      <c r="I130">
        <f t="shared" si="30"/>
        <v>0.27613913210008301</v>
      </c>
      <c r="J130">
        <f t="shared" si="31"/>
        <v>2.4290471754894276</v>
      </c>
      <c r="K130" s="6">
        <f t="shared" si="32"/>
        <v>0.18107999999999999</v>
      </c>
      <c r="N130" s="6">
        <f t="shared" si="33"/>
        <v>54</v>
      </c>
      <c r="O130" s="6">
        <f t="shared" si="34"/>
        <v>114.07139620686759</v>
      </c>
      <c r="P130" s="7">
        <f t="shared" si="35"/>
        <v>82.877720573238719</v>
      </c>
      <c r="Q130" s="7"/>
      <c r="R130" s="7">
        <f t="shared" si="36"/>
        <v>7.3011644233384629</v>
      </c>
      <c r="S130" s="7">
        <f t="shared" si="37"/>
        <v>4.3925191903816518</v>
      </c>
      <c r="T130" s="7">
        <f t="shared" si="38"/>
        <v>4.3925191903816518</v>
      </c>
      <c r="U130" s="7">
        <f t="shared" si="39"/>
        <v>8.2028710128834543</v>
      </c>
      <c r="V130" s="7">
        <f t="shared" si="40"/>
        <v>8.2028710128834543</v>
      </c>
      <c r="W130" s="7">
        <f t="shared" si="41"/>
        <v>3.2468952081483158</v>
      </c>
      <c r="X130" s="7">
        <f t="shared" si="42"/>
        <v>8.8220984661643929</v>
      </c>
      <c r="Y130" s="7">
        <f t="shared" si="43"/>
        <v>1.0833664296632</v>
      </c>
    </row>
    <row r="131" ht="14.25">
      <c r="A131">
        <v>29</v>
      </c>
      <c r="B131">
        <f t="shared" si="25"/>
        <v>8.6999999999999993</v>
      </c>
      <c r="E131">
        <f t="shared" si="26"/>
        <v>0.46109999999999995</v>
      </c>
      <c r="F131">
        <f t="shared" si="27"/>
        <v>0.46109999999999995</v>
      </c>
      <c r="G131">
        <f t="shared" si="28"/>
        <v>2.4100361083723176</v>
      </c>
      <c r="H131">
        <f t="shared" si="29"/>
        <v>2.4100361083723176</v>
      </c>
      <c r="I131">
        <f t="shared" si="30"/>
        <v>0.26023913210008298</v>
      </c>
      <c r="J131">
        <f t="shared" si="31"/>
        <v>2.4240458843707127</v>
      </c>
      <c r="K131" s="6">
        <f t="shared" si="32"/>
        <v>0.18104399999999998</v>
      </c>
      <c r="N131" s="6">
        <f t="shared" si="33"/>
        <v>52.200000000000003</v>
      </c>
      <c r="O131" s="6">
        <f t="shared" si="34"/>
        <v>111.41185674497235</v>
      </c>
      <c r="P131" s="7">
        <f t="shared" si="35"/>
        <v>86.419894565069683</v>
      </c>
      <c r="Q131" s="7"/>
      <c r="R131" s="7">
        <f t="shared" si="36"/>
        <v>7.1602088318580153</v>
      </c>
      <c r="S131" s="7">
        <f t="shared" si="37"/>
        <v>4.580254411948693</v>
      </c>
      <c r="T131" s="7">
        <f t="shared" si="38"/>
        <v>4.580254411948693</v>
      </c>
      <c r="U131" s="7">
        <f t="shared" si="39"/>
        <v>8.1004541457749735</v>
      </c>
      <c r="V131" s="7">
        <f t="shared" si="40"/>
        <v>8.1004541457749735</v>
      </c>
      <c r="W131" s="7">
        <f t="shared" si="41"/>
        <v>3.4613402999418748</v>
      </c>
      <c r="X131" s="7">
        <f t="shared" si="42"/>
        <v>8.8089859824956402</v>
      </c>
      <c r="Y131" s="7">
        <f t="shared" si="43"/>
        <v>1.0604759161839461</v>
      </c>
    </row>
    <row r="132" ht="14.25">
      <c r="A132">
        <v>28</v>
      </c>
      <c r="B132">
        <f t="shared" si="25"/>
        <v>8.4000000000000004</v>
      </c>
      <c r="E132">
        <f t="shared" si="26"/>
        <v>0.44519999999999998</v>
      </c>
      <c r="F132">
        <f t="shared" si="27"/>
        <v>0.44519999999999998</v>
      </c>
      <c r="G132">
        <f t="shared" si="28"/>
        <v>2.4067721192689437</v>
      </c>
      <c r="H132">
        <f t="shared" si="29"/>
        <v>2.4067721192689437</v>
      </c>
      <c r="I132">
        <f t="shared" si="30"/>
        <v>0.24433913210008298</v>
      </c>
      <c r="J132">
        <f t="shared" si="31"/>
        <v>2.4191431635117722</v>
      </c>
      <c r="K132" s="6">
        <f t="shared" si="32"/>
        <v>0.181008</v>
      </c>
      <c r="N132" s="6">
        <f t="shared" si="33"/>
        <v>50.399999999999999</v>
      </c>
      <c r="O132" s="6">
        <f t="shared" si="34"/>
        <v>108.64236723138627</v>
      </c>
      <c r="P132" s="7">
        <f t="shared" si="35"/>
        <v>89.876782554565267</v>
      </c>
      <c r="Q132" s="7"/>
      <c r="R132" s="7">
        <f t="shared" si="36"/>
        <v>7.0134258876379532</v>
      </c>
      <c r="S132" s="7">
        <f t="shared" si="37"/>
        <v>4.7634694753919593</v>
      </c>
      <c r="T132" s="7">
        <f t="shared" si="38"/>
        <v>4.7634694753919593</v>
      </c>
      <c r="U132" s="7">
        <f t="shared" si="39"/>
        <v>7.9912820173192332</v>
      </c>
      <c r="V132" s="7">
        <f t="shared" si="40"/>
        <v>7.9912820173192332</v>
      </c>
      <c r="W132" s="7">
        <f t="shared" si="41"/>
        <v>3.6723694667520719</v>
      </c>
      <c r="X132" s="7">
        <f t="shared" si="42"/>
        <v>8.7947078280442401</v>
      </c>
      <c r="Y132" s="7">
        <f t="shared" si="43"/>
        <v>1.0363678635776876</v>
      </c>
    </row>
    <row r="133" ht="14.25">
      <c r="A133">
        <v>27</v>
      </c>
      <c r="B133">
        <f t="shared" si="25"/>
        <v>8.0999999999999996</v>
      </c>
      <c r="E133">
        <f t="shared" si="26"/>
        <v>0.42929999999999996</v>
      </c>
      <c r="F133">
        <f t="shared" si="27"/>
        <v>0.42929999999999996</v>
      </c>
      <c r="G133">
        <f t="shared" si="28"/>
        <v>2.4035081301655703</v>
      </c>
      <c r="H133">
        <f t="shared" si="29"/>
        <v>2.4035081301655703</v>
      </c>
      <c r="I133">
        <f t="shared" si="30"/>
        <v>0.22843913210008296</v>
      </c>
      <c r="J133">
        <f t="shared" si="31"/>
        <v>2.4143396134029356</v>
      </c>
      <c r="K133" s="6">
        <f t="shared" si="32"/>
        <v>0.18097199999999999</v>
      </c>
      <c r="N133" s="6">
        <f t="shared" si="33"/>
        <v>48.600000000000001</v>
      </c>
      <c r="O133" s="6">
        <f t="shared" si="34"/>
        <v>105.7656608178948</v>
      </c>
      <c r="P133" s="7">
        <f t="shared" si="35"/>
        <v>93.244973010634908</v>
      </c>
      <c r="Q133" s="7"/>
      <c r="R133" s="7">
        <f t="shared" si="36"/>
        <v>6.8609604477229054</v>
      </c>
      <c r="S133" s="7">
        <f t="shared" si="37"/>
        <v>4.94198356956365</v>
      </c>
      <c r="T133" s="7">
        <f t="shared" si="38"/>
        <v>4.94198356956365</v>
      </c>
      <c r="U133" s="7">
        <f t="shared" si="39"/>
        <v>7.8754623672265138</v>
      </c>
      <c r="V133" s="7">
        <f t="shared" si="40"/>
        <v>7.8754623672265138</v>
      </c>
      <c r="W133" s="7">
        <f t="shared" si="41"/>
        <v>3.8797744482691203</v>
      </c>
      <c r="X133" s="7">
        <f t="shared" si="42"/>
        <v>8.7792686066119998</v>
      </c>
      <c r="Y133" s="7">
        <f t="shared" si="43"/>
        <v>1.0110636444915526</v>
      </c>
    </row>
    <row r="134" ht="14.25">
      <c r="A134">
        <v>26</v>
      </c>
      <c r="B134">
        <f t="shared" si="25"/>
        <v>7.7999999999999998</v>
      </c>
      <c r="E134">
        <f t="shared" si="26"/>
        <v>0.41339999999999999</v>
      </c>
      <c r="F134">
        <f t="shared" si="27"/>
        <v>0.41339999999999999</v>
      </c>
      <c r="G134">
        <f t="shared" si="28"/>
        <v>2.4002441410621964</v>
      </c>
      <c r="H134">
        <f t="shared" si="29"/>
        <v>2.4002441410621964</v>
      </c>
      <c r="I134">
        <f t="shared" si="30"/>
        <v>0.21253913210008299</v>
      </c>
      <c r="J134">
        <f t="shared" si="31"/>
        <v>2.4096358271276714</v>
      </c>
      <c r="K134" s="6">
        <f t="shared" si="32"/>
        <v>0.18093599999999999</v>
      </c>
      <c r="N134" s="6">
        <f t="shared" si="33"/>
        <v>46.799999999999997</v>
      </c>
      <c r="O134" s="6">
        <f t="shared" si="34"/>
        <v>102.78457646641903</v>
      </c>
      <c r="P134" s="7">
        <f t="shared" si="35"/>
        <v>96.52114193594511</v>
      </c>
      <c r="Q134" s="7"/>
      <c r="R134" s="7">
        <f t="shared" si="36"/>
        <v>6.702962977094689</v>
      </c>
      <c r="S134" s="7">
        <f t="shared" si="37"/>
        <v>5.1156205226050906</v>
      </c>
      <c r="T134" s="7">
        <f t="shared" si="38"/>
        <v>5.1156205226050906</v>
      </c>
      <c r="U134" s="7">
        <f t="shared" si="39"/>
        <v>7.7531094955083768</v>
      </c>
      <c r="V134" s="7">
        <f t="shared" si="40"/>
        <v>7.7531094955083768</v>
      </c>
      <c r="W134" s="7">
        <f t="shared" si="41"/>
        <v>4.0833505608165748</v>
      </c>
      <c r="X134" s="7">
        <f t="shared" si="42"/>
        <v>8.7626741724123907</v>
      </c>
      <c r="Y134" s="7">
        <f t="shared" si="43"/>
        <v>0.98458649636141859</v>
      </c>
    </row>
    <row r="135" ht="14.25">
      <c r="A135">
        <v>25</v>
      </c>
      <c r="B135">
        <f t="shared" si="25"/>
        <v>7.5</v>
      </c>
      <c r="E135">
        <f t="shared" si="26"/>
        <v>0.39749999999999996</v>
      </c>
      <c r="F135">
        <f t="shared" si="27"/>
        <v>0.39749999999999996</v>
      </c>
      <c r="G135">
        <f t="shared" si="28"/>
        <v>2.396980151958823</v>
      </c>
      <c r="H135">
        <f t="shared" si="29"/>
        <v>2.396980151958823</v>
      </c>
      <c r="I135">
        <f t="shared" si="30"/>
        <v>0.19663913210008296</v>
      </c>
      <c r="J135">
        <f t="shared" si="31"/>
        <v>2.4050323900433472</v>
      </c>
      <c r="K135" s="6">
        <f t="shared" si="32"/>
        <v>0.18090000000000001</v>
      </c>
      <c r="N135" s="6">
        <f t="shared" si="33"/>
        <v>45</v>
      </c>
      <c r="O135" s="6">
        <f t="shared" si="34"/>
        <v>99.702056147303196</v>
      </c>
      <c r="P135" s="7">
        <f t="shared" si="35"/>
        <v>99.70205614730321</v>
      </c>
      <c r="Q135" s="7"/>
      <c r="R135" s="7">
        <f t="shared" si="36"/>
        <v>6.5395894001815504</v>
      </c>
      <c r="S135" s="7">
        <f t="shared" si="37"/>
        <v>5.2842089758070703</v>
      </c>
      <c r="T135" s="7">
        <f t="shared" si="38"/>
        <v>5.2842089758070703</v>
      </c>
      <c r="U135" s="7">
        <f t="shared" si="39"/>
        <v>7.624344149677369</v>
      </c>
      <c r="V135" s="7">
        <f t="shared" si="40"/>
        <v>7.624344149677369</v>
      </c>
      <c r="W135" s="7">
        <f t="shared" si="41"/>
        <v>4.2828968993493914</v>
      </c>
      <c r="X135" s="7">
        <f t="shared" si="42"/>
        <v>8.7449316500002539</v>
      </c>
      <c r="Y135" s="7">
        <f t="shared" si="43"/>
        <v>0.95696150532572866</v>
      </c>
    </row>
    <row r="136" ht="14.25">
      <c r="A136">
        <v>24</v>
      </c>
      <c r="B136">
        <f t="shared" si="25"/>
        <v>7.2000000000000002</v>
      </c>
      <c r="E136">
        <f t="shared" si="26"/>
        <v>0.38159999999999999</v>
      </c>
      <c r="F136">
        <f t="shared" si="27"/>
        <v>0.38159999999999999</v>
      </c>
      <c r="G136">
        <f t="shared" si="28"/>
        <v>2.3937161628554491</v>
      </c>
      <c r="H136">
        <f t="shared" si="29"/>
        <v>2.3937161628554491</v>
      </c>
      <c r="I136">
        <f t="shared" si="30"/>
        <v>0.18073913210008299</v>
      </c>
      <c r="J136">
        <f t="shared" si="31"/>
        <v>2.4005298794615548</v>
      </c>
      <c r="K136" s="6">
        <f t="shared" si="32"/>
        <v>0.18086399999999997</v>
      </c>
      <c r="N136" s="6">
        <f t="shared" si="33"/>
        <v>43.200000000000003</v>
      </c>
      <c r="O136" s="6">
        <f t="shared" si="34"/>
        <v>96.52114193594511</v>
      </c>
      <c r="P136" s="7">
        <f t="shared" si="35"/>
        <v>102.78457646641903</v>
      </c>
      <c r="Q136" s="7"/>
      <c r="R136" s="7">
        <f t="shared" si="36"/>
        <v>6.3710009469795716</v>
      </c>
      <c r="S136" s="7">
        <f t="shared" si="37"/>
        <v>5.447582552720208</v>
      </c>
      <c r="T136" s="7">
        <f t="shared" si="38"/>
        <v>5.447582552720208</v>
      </c>
      <c r="U136" s="7">
        <f t="shared" si="39"/>
        <v>7.4892934055837967</v>
      </c>
      <c r="V136" s="7">
        <f t="shared" si="40"/>
        <v>7.4892934055837967</v>
      </c>
      <c r="W136" s="7">
        <f t="shared" si="41"/>
        <v>4.4782165357229573</v>
      </c>
      <c r="X136" s="7">
        <f t="shared" si="42"/>
        <v>8.7260494529737489</v>
      </c>
      <c r="Y136" s="7">
        <f t="shared" si="43"/>
        <v>0.92821558558715345</v>
      </c>
    </row>
    <row r="137" ht="14.25">
      <c r="A137">
        <v>23</v>
      </c>
      <c r="B137">
        <f t="shared" si="25"/>
        <v>6.9000000000000004</v>
      </c>
      <c r="E137">
        <f t="shared" si="26"/>
        <v>0.36570000000000003</v>
      </c>
      <c r="F137">
        <f t="shared" si="27"/>
        <v>0.36570000000000003</v>
      </c>
      <c r="G137">
        <f t="shared" si="28"/>
        <v>2.3904521737520756</v>
      </c>
      <c r="H137">
        <f t="shared" si="29"/>
        <v>2.3904521737520756</v>
      </c>
      <c r="I137">
        <f t="shared" si="30"/>
        <v>0.16483913210008302</v>
      </c>
      <c r="J137">
        <f t="shared" si="31"/>
        <v>2.3961288643283631</v>
      </c>
      <c r="K137" s="6">
        <f t="shared" si="32"/>
        <v>0.18082799999999999</v>
      </c>
      <c r="N137" s="6">
        <f t="shared" si="33"/>
        <v>41.399999999999999</v>
      </c>
      <c r="O137" s="6">
        <f t="shared" si="34"/>
        <v>93.244973010634908</v>
      </c>
      <c r="P137" s="7">
        <f t="shared" si="35"/>
        <v>105.7656608178948</v>
      </c>
      <c r="Q137" s="7"/>
      <c r="R137" s="7">
        <f t="shared" si="36"/>
        <v>6.1973639939381311</v>
      </c>
      <c r="S137" s="7">
        <f t="shared" si="37"/>
        <v>5.6055800233484243</v>
      </c>
      <c r="T137" s="7">
        <f t="shared" si="38"/>
        <v>5.6055800233484243</v>
      </c>
      <c r="U137" s="7">
        <f t="shared" si="39"/>
        <v>7.3480905420072045</v>
      </c>
      <c r="V137" s="7">
        <f t="shared" si="40"/>
        <v>7.3480905420072045</v>
      </c>
      <c r="W137" s="7">
        <f t="shared" si="41"/>
        <v>4.6691167130374014</v>
      </c>
      <c r="X137" s="7">
        <f t="shared" si="42"/>
        <v>8.7060373014076227</v>
      </c>
      <c r="Y137" s="7">
        <f t="shared" si="43"/>
        <v>0.89837745422621351</v>
      </c>
    </row>
    <row r="138" ht="14.25">
      <c r="A138">
        <v>22</v>
      </c>
      <c r="B138">
        <f t="shared" si="25"/>
        <v>6.5999999999999996</v>
      </c>
      <c r="E138">
        <f t="shared" si="26"/>
        <v>0.34979999999999994</v>
      </c>
      <c r="F138">
        <f t="shared" si="27"/>
        <v>0.34979999999999994</v>
      </c>
      <c r="G138">
        <f t="shared" si="28"/>
        <v>2.3871881846487017</v>
      </c>
      <c r="H138">
        <f t="shared" si="29"/>
        <v>2.3871881846487017</v>
      </c>
      <c r="I138">
        <f t="shared" si="30"/>
        <v>0.14893913210008294</v>
      </c>
      <c r="J138">
        <f t="shared" si="31"/>
        <v>2.3918299049048386</v>
      </c>
      <c r="K138" s="6">
        <f t="shared" si="32"/>
        <v>0.18079200000000001</v>
      </c>
      <c r="N138" s="6">
        <f t="shared" si="33"/>
        <v>39.600000000000001</v>
      </c>
      <c r="O138" s="6">
        <f t="shared" si="34"/>
        <v>89.876782554565239</v>
      </c>
      <c r="P138" s="7">
        <f t="shared" si="35"/>
        <v>108.64236723138629</v>
      </c>
      <c r="Q138" s="7"/>
      <c r="R138" s="7">
        <f t="shared" si="36"/>
        <v>6.0188498997664386</v>
      </c>
      <c r="S138" s="7">
        <f t="shared" si="37"/>
        <v>5.758045463263473</v>
      </c>
      <c r="T138" s="7">
        <f t="shared" si="38"/>
        <v>5.758045463263473</v>
      </c>
      <c r="U138" s="7">
        <f t="shared" si="39"/>
        <v>7.2008749091263171</v>
      </c>
      <c r="V138" s="7">
        <f t="shared" si="40"/>
        <v>7.2008749091263171</v>
      </c>
      <c r="W138" s="7">
        <f t="shared" si="41"/>
        <v>4.8554090358653683</v>
      </c>
      <c r="X138" s="7">
        <f t="shared" si="42"/>
        <v>8.6849062379767812</v>
      </c>
      <c r="Y138" s="7">
        <f t="shared" si="43"/>
        <v>0.86747760148629827</v>
      </c>
    </row>
    <row r="139" ht="14.25">
      <c r="A139">
        <v>21</v>
      </c>
      <c r="B139">
        <f t="shared" si="25"/>
        <v>6.2999999999999998</v>
      </c>
      <c r="E139">
        <f t="shared" si="26"/>
        <v>0.33389999999999997</v>
      </c>
      <c r="F139">
        <f t="shared" si="27"/>
        <v>0.33389999999999997</v>
      </c>
      <c r="G139">
        <f t="shared" si="28"/>
        <v>2.3839241955453283</v>
      </c>
      <c r="H139">
        <f t="shared" si="29"/>
        <v>2.3839241955453283</v>
      </c>
      <c r="I139">
        <f t="shared" si="30"/>
        <v>0.13303913210008297</v>
      </c>
      <c r="J139">
        <f t="shared" si="31"/>
        <v>2.3876335524481944</v>
      </c>
      <c r="K139" s="6">
        <f t="shared" si="32"/>
        <v>0.180756</v>
      </c>
      <c r="N139" s="6">
        <f t="shared" si="33"/>
        <v>37.799999999999997</v>
      </c>
      <c r="O139" s="6">
        <f t="shared" si="34"/>
        <v>86.419894565069669</v>
      </c>
      <c r="P139" s="7">
        <f t="shared" si="35"/>
        <v>111.41185674497235</v>
      </c>
      <c r="Q139" s="7"/>
      <c r="R139" s="7">
        <f t="shared" si="36"/>
        <v>5.8356348363231731</v>
      </c>
      <c r="S139" s="7">
        <f t="shared" si="37"/>
        <v>5.9048284074835342</v>
      </c>
      <c r="T139" s="7">
        <f t="shared" si="38"/>
        <v>5.9048284074835342</v>
      </c>
      <c r="U139" s="7">
        <f t="shared" si="39"/>
        <v>7.047791790997227</v>
      </c>
      <c r="V139" s="7">
        <f t="shared" si="40"/>
        <v>7.047791790997227</v>
      </c>
      <c r="W139" s="7">
        <f t="shared" si="41"/>
        <v>5.036909656175574</v>
      </c>
      <c r="X139" s="7">
        <f t="shared" si="42"/>
        <v>8.6626686427291357</v>
      </c>
      <c r="Y139" s="7">
        <f t="shared" si="43"/>
        <v>0.83554825656482201</v>
      </c>
    </row>
    <row r="140" ht="14.25">
      <c r="A140">
        <v>20</v>
      </c>
      <c r="B140">
        <f t="shared" si="25"/>
        <v>6</v>
      </c>
      <c r="E140">
        <f t="shared" si="26"/>
        <v>0.318</v>
      </c>
      <c r="F140">
        <f t="shared" si="27"/>
        <v>0.318</v>
      </c>
      <c r="G140">
        <f t="shared" si="28"/>
        <v>2.3806602064419544</v>
      </c>
      <c r="H140">
        <f t="shared" si="29"/>
        <v>2.3806602064419544</v>
      </c>
      <c r="I140">
        <f t="shared" si="30"/>
        <v>0.117139132100083</v>
      </c>
      <c r="J140">
        <f t="shared" si="31"/>
        <v>2.3835403488939324</v>
      </c>
      <c r="K140" s="6">
        <f t="shared" si="32"/>
        <v>0.18071999999999999</v>
      </c>
      <c r="N140" s="6">
        <f t="shared" si="33"/>
        <v>36</v>
      </c>
      <c r="O140" s="6">
        <f t="shared" si="34"/>
        <v>82.877720573238719</v>
      </c>
      <c r="P140" s="7">
        <f t="shared" si="35"/>
        <v>114.07139620686759</v>
      </c>
      <c r="Q140" s="7"/>
      <c r="R140" s="7">
        <f t="shared" si="36"/>
        <v>5.6478996147561329</v>
      </c>
      <c r="S140" s="7">
        <f t="shared" si="37"/>
        <v>6.0457839989639819</v>
      </c>
      <c r="T140" s="7">
        <f t="shared" si="38"/>
        <v>6.0457839989639819</v>
      </c>
      <c r="U140" s="7">
        <f t="shared" si="39"/>
        <v>6.8889922621755808</v>
      </c>
      <c r="V140" s="7">
        <f t="shared" si="40"/>
        <v>6.8889922621755808</v>
      </c>
      <c r="W140" s="7">
        <f t="shared" si="41"/>
        <v>5.2134394547686052</v>
      </c>
      <c r="X140" s="7">
        <f t="shared" si="42"/>
        <v>8.6393382464661617</v>
      </c>
      <c r="Y140" s="7">
        <f t="shared" si="43"/>
        <v>0.80262334896054022</v>
      </c>
    </row>
    <row r="141" ht="14.25">
      <c r="A141">
        <v>19</v>
      </c>
      <c r="B141">
        <f t="shared" si="25"/>
        <v>5.7000000000000002</v>
      </c>
      <c r="E141">
        <f t="shared" si="26"/>
        <v>0.30209999999999998</v>
      </c>
      <c r="F141">
        <f t="shared" si="27"/>
        <v>0.30209999999999998</v>
      </c>
      <c r="G141">
        <f t="shared" si="28"/>
        <v>2.377396217338581</v>
      </c>
      <c r="H141">
        <f t="shared" si="29"/>
        <v>2.377396217338581</v>
      </c>
      <c r="I141">
        <f t="shared" si="30"/>
        <v>0.10123913210008298</v>
      </c>
      <c r="J141">
        <f t="shared" si="31"/>
        <v>2.3795508265393641</v>
      </c>
      <c r="K141" s="6">
        <f t="shared" si="32"/>
        <v>0.18068399999999998</v>
      </c>
      <c r="N141" s="6">
        <f t="shared" si="33"/>
        <v>34.200000000000003</v>
      </c>
      <c r="O141" s="6">
        <f t="shared" si="34"/>
        <v>79.253756277150416</v>
      </c>
      <c r="P141" s="7">
        <f t="shared" si="35"/>
        <v>116.61836097271322</v>
      </c>
      <c r="Q141" s="7"/>
      <c r="R141" s="7">
        <f t="shared" si="36"/>
        <v>5.455829507063453</v>
      </c>
      <c r="S141" s="7">
        <f t="shared" si="37"/>
        <v>6.1807731315538001</v>
      </c>
      <c r="T141" s="7">
        <f t="shared" si="38"/>
        <v>6.1807731315538001</v>
      </c>
      <c r="U141" s="7">
        <f t="shared" si="39"/>
        <v>6.7246330386242228</v>
      </c>
      <c r="V141" s="7">
        <f t="shared" si="40"/>
        <v>6.7246330386242228</v>
      </c>
      <c r="W141" s="7">
        <f t="shared" si="41"/>
        <v>5.3848242180459538</v>
      </c>
      <c r="X141" s="7">
        <f t="shared" si="42"/>
        <v>8.6149301426889515</v>
      </c>
      <c r="Y141" s="7">
        <f t="shared" si="43"/>
        <v>0.76873846544218671</v>
      </c>
    </row>
    <row r="142" ht="14.25">
      <c r="A142">
        <v>18</v>
      </c>
      <c r="B142">
        <f t="shared" si="25"/>
        <v>5.4000000000000004</v>
      </c>
      <c r="E142">
        <f t="shared" si="26"/>
        <v>0.28620000000000001</v>
      </c>
      <c r="F142">
        <f t="shared" si="27"/>
        <v>0.28620000000000001</v>
      </c>
      <c r="G142">
        <f t="shared" si="28"/>
        <v>2.3741322282352071</v>
      </c>
      <c r="H142">
        <f t="shared" si="29"/>
        <v>2.3741322282352071</v>
      </c>
      <c r="I142">
        <f t="shared" si="30"/>
        <v>0.085339132100083009</v>
      </c>
      <c r="J142">
        <f t="shared" si="31"/>
        <v>2.3756655077288689</v>
      </c>
      <c r="K142" s="6">
        <f t="shared" si="32"/>
        <v>0.180648</v>
      </c>
      <c r="N142" s="6">
        <f t="shared" si="33"/>
        <v>32.399999999999999</v>
      </c>
      <c r="O142" s="6">
        <f t="shared" si="34"/>
        <v>75.551578092038525</v>
      </c>
      <c r="P142" s="7">
        <f t="shared" si="35"/>
        <v>119.05023749578413</v>
      </c>
      <c r="Q142" s="7"/>
      <c r="R142" s="7">
        <f t="shared" si="36"/>
        <v>5.2596140632525223</v>
      </c>
      <c r="S142" s="7">
        <f t="shared" si="37"/>
        <v>6.3096625872765584</v>
      </c>
      <c r="T142" s="7">
        <f t="shared" si="38"/>
        <v>6.3096625872765584</v>
      </c>
      <c r="U142" s="7">
        <f t="shared" si="39"/>
        <v>6.5548763230534712</v>
      </c>
      <c r="V142" s="7">
        <f t="shared" si="40"/>
        <v>6.5548763230534712</v>
      </c>
      <c r="W142" s="7">
        <f t="shared" si="41"/>
        <v>5.5508948099377982</v>
      </c>
      <c r="X142" s="7">
        <f t="shared" si="42"/>
        <v>8.5894607980665114</v>
      </c>
      <c r="Y142" s="7">
        <f t="shared" si="43"/>
        <v>0.73393080271857747</v>
      </c>
    </row>
    <row r="143" ht="14.25">
      <c r="A143">
        <v>17</v>
      </c>
      <c r="B143">
        <f t="shared" si="25"/>
        <v>5.0999999999999996</v>
      </c>
      <c r="E143">
        <f t="shared" si="26"/>
        <v>0.27029999999999998</v>
      </c>
      <c r="F143">
        <f t="shared" si="27"/>
        <v>0.27029999999999998</v>
      </c>
      <c r="G143">
        <f t="shared" si="28"/>
        <v>2.3708682391318336</v>
      </c>
      <c r="H143">
        <f t="shared" si="29"/>
        <v>2.3708682391318336</v>
      </c>
      <c r="I143">
        <f t="shared" si="30"/>
        <v>0.069439132100082984</v>
      </c>
      <c r="J143">
        <f t="shared" si="31"/>
        <v>2.3718849045413006</v>
      </c>
      <c r="K143" s="6">
        <f t="shared" si="32"/>
        <v>0.18061199999999999</v>
      </c>
      <c r="N143" s="6">
        <f t="shared" si="33"/>
        <v>30.600000000000001</v>
      </c>
      <c r="O143" s="6">
        <f t="shared" si="34"/>
        <v>71.774839620802354</v>
      </c>
      <c r="P143" s="7">
        <f t="shared" si="35"/>
        <v>121.36462580755605</v>
      </c>
      <c r="Q143" s="7"/>
      <c r="R143" s="7">
        <f t="shared" si="36"/>
        <v>5.0594469242770055</v>
      </c>
      <c r="S143" s="7">
        <f t="shared" si="37"/>
        <v>6.4323251678004709</v>
      </c>
      <c r="T143" s="7">
        <f t="shared" si="38"/>
        <v>6.4323251678004709</v>
      </c>
      <c r="U143" s="7">
        <f t="shared" si="39"/>
        <v>6.3798896448466174</v>
      </c>
      <c r="V143" s="7">
        <f t="shared" si="40"/>
        <v>6.3798896448466174</v>
      </c>
      <c r="W143" s="7">
        <f t="shared" si="41"/>
        <v>5.711487338819885</v>
      </c>
      <c r="X143" s="7">
        <f t="shared" si="42"/>
        <v>8.5629480613817197</v>
      </c>
      <c r="Y143" s="7">
        <f t="shared" si="43"/>
        <v>0.69823911590507726</v>
      </c>
    </row>
    <row r="144" ht="14.25">
      <c r="A144">
        <v>16</v>
      </c>
      <c r="B144">
        <f t="shared" si="25"/>
        <v>4.7999999999999998</v>
      </c>
      <c r="E144">
        <f t="shared" si="26"/>
        <v>0.25439999999999996</v>
      </c>
      <c r="F144">
        <f t="shared" si="27"/>
        <v>0.25439999999999996</v>
      </c>
      <c r="G144">
        <f t="shared" si="28"/>
        <v>2.3676042500284598</v>
      </c>
      <c r="H144">
        <f t="shared" si="29"/>
        <v>2.3676042500284598</v>
      </c>
      <c r="I144">
        <f t="shared" si="30"/>
        <v>0.053539132100082959</v>
      </c>
      <c r="J144">
        <f t="shared" si="31"/>
        <v>2.3682095184799117</v>
      </c>
      <c r="K144" s="6">
        <f t="shared" si="32"/>
        <v>0.18057599999999999</v>
      </c>
      <c r="N144" s="6">
        <f t="shared" si="33"/>
        <v>28.800000000000001</v>
      </c>
      <c r="O144" s="6">
        <f t="shared" si="34"/>
        <v>67.927268048341858</v>
      </c>
      <c r="P144" s="7">
        <f t="shared" si="35"/>
        <v>123.55924188618476</v>
      </c>
      <c r="Q144" s="7"/>
      <c r="R144" s="7">
        <f t="shared" si="36"/>
        <v>4.8555256309365999</v>
      </c>
      <c r="S144" s="7">
        <f t="shared" si="37"/>
        <v>6.548639819967792</v>
      </c>
      <c r="T144" s="7">
        <f t="shared" si="38"/>
        <v>6.548639819967792</v>
      </c>
      <c r="U144" s="7">
        <f t="shared" si="39"/>
        <v>6.199845694728654</v>
      </c>
      <c r="V144" s="7">
        <f t="shared" si="40"/>
        <v>6.199845694728654</v>
      </c>
      <c r="W144" s="7">
        <f t="shared" si="41"/>
        <v>5.8664433192547794</v>
      </c>
      <c r="X144" s="7">
        <f t="shared" si="42"/>
        <v>8.5354111709087839</v>
      </c>
      <c r="Y144" s="7">
        <f t="shared" si="43"/>
        <v>0.66170366289579341</v>
      </c>
    </row>
    <row r="145" ht="14.25">
      <c r="A145">
        <v>15</v>
      </c>
      <c r="B145">
        <f t="shared" si="25"/>
        <v>4.5</v>
      </c>
      <c r="E145">
        <f t="shared" si="26"/>
        <v>0.23849999999999999</v>
      </c>
      <c r="F145">
        <f t="shared" si="27"/>
        <v>0.23849999999999999</v>
      </c>
      <c r="G145">
        <f t="shared" si="28"/>
        <v>2.3643402609250863</v>
      </c>
      <c r="H145">
        <f t="shared" si="29"/>
        <v>2.3643402609250863</v>
      </c>
      <c r="I145">
        <f t="shared" si="30"/>
        <v>0.037639132100082989</v>
      </c>
      <c r="J145">
        <f t="shared" si="31"/>
        <v>2.3646398401652107</v>
      </c>
      <c r="K145" s="6">
        <f t="shared" si="32"/>
        <v>0.18053999999999998</v>
      </c>
      <c r="N145" s="6">
        <f t="shared" si="33"/>
        <v>27</v>
      </c>
      <c r="O145" s="6">
        <f t="shared" si="34"/>
        <v>64.012660463276092</v>
      </c>
      <c r="P145" s="7">
        <f t="shared" si="35"/>
        <v>125.63191991055987</v>
      </c>
      <c r="Q145" s="7"/>
      <c r="R145" s="7">
        <f t="shared" si="36"/>
        <v>4.6480514289281141</v>
      </c>
      <c r="S145" s="7">
        <f t="shared" si="37"/>
        <v>6.6584917552596732</v>
      </c>
      <c r="T145" s="7">
        <f t="shared" si="38"/>
        <v>6.6584917552596732</v>
      </c>
      <c r="U145" s="7">
        <f t="shared" si="39"/>
        <v>6.0149221543413764</v>
      </c>
      <c r="V145" s="7">
        <f t="shared" si="40"/>
        <v>6.0149221543413764</v>
      </c>
      <c r="W145" s="7">
        <f t="shared" si="41"/>
        <v>6.0156098283978565</v>
      </c>
      <c r="X145" s="7">
        <f t="shared" si="42"/>
        <v>8.5068707601740137</v>
      </c>
      <c r="Y145" s="7">
        <f t="shared" si="43"/>
        <v>0.62436614476498975</v>
      </c>
    </row>
    <row r="146" ht="14.25">
      <c r="A146">
        <v>14</v>
      </c>
      <c r="B146">
        <f t="shared" si="25"/>
        <v>4.2000000000000002</v>
      </c>
      <c r="E146">
        <f t="shared" si="26"/>
        <v>0.22259999999999999</v>
      </c>
      <c r="F146">
        <f t="shared" si="27"/>
        <v>0.22259999999999999</v>
      </c>
      <c r="G146">
        <f t="shared" si="28"/>
        <v>2.3610762718217129</v>
      </c>
      <c r="H146">
        <f t="shared" si="29"/>
        <v>2.3610762718217129</v>
      </c>
      <c r="I146">
        <f t="shared" si="30"/>
        <v>0.021739132100082992</v>
      </c>
      <c r="J146">
        <f t="shared" si="31"/>
        <v>2.3611763490311315</v>
      </c>
      <c r="K146" s="6">
        <f t="shared" si="32"/>
        <v>0.180504</v>
      </c>
      <c r="N146" s="6">
        <f t="shared" si="33"/>
        <v>25.199999999999999</v>
      </c>
      <c r="O146" s="6">
        <f t="shared" si="34"/>
        <v>60.034880110675239</v>
      </c>
      <c r="P146" s="7">
        <f t="shared" si="35"/>
        <v>127.58061439770876</v>
      </c>
      <c r="Q146" s="7"/>
      <c r="R146" s="7">
        <f t="shared" si="36"/>
        <v>4.437229070240269</v>
      </c>
      <c r="S146" s="7">
        <f t="shared" si="37"/>
        <v>6.7617725630785639</v>
      </c>
      <c r="T146" s="7">
        <f t="shared" si="38"/>
        <v>6.7617725630785639</v>
      </c>
      <c r="U146" s="7">
        <f t="shared" si="39"/>
        <v>5.825301520893059</v>
      </c>
      <c r="V146" s="7">
        <f t="shared" si="40"/>
        <v>5.825301520893059</v>
      </c>
      <c r="W146" s="7">
        <f t="shared" si="41"/>
        <v>6.1588396569136794</v>
      </c>
      <c r="X146" s="7">
        <f t="shared" si="42"/>
        <v>8.4773488620494781</v>
      </c>
      <c r="Y146" s="7">
        <f t="shared" si="43"/>
        <v>0.58626964233495349</v>
      </c>
    </row>
    <row r="147" ht="14.25">
      <c r="A147">
        <v>13</v>
      </c>
      <c r="B147">
        <f t="shared" si="25"/>
        <v>3.8999999999999999</v>
      </c>
      <c r="E147">
        <f t="shared" si="26"/>
        <v>0.20669999999999999</v>
      </c>
      <c r="F147">
        <f t="shared" si="27"/>
        <v>0.20669999999999999</v>
      </c>
      <c r="G147">
        <f t="shared" si="28"/>
        <v>2.357812282718339</v>
      </c>
      <c r="H147">
        <f t="shared" si="29"/>
        <v>2.357812282718339</v>
      </c>
      <c r="I147">
        <f t="shared" si="30"/>
        <v>0.0058391321000829943</v>
      </c>
      <c r="J147">
        <f t="shared" si="31"/>
        <v>2.357819513024936</v>
      </c>
      <c r="K147" s="6">
        <f t="shared" si="32"/>
        <v>0.18046799999999999</v>
      </c>
      <c r="N147" s="6">
        <f t="shared" si="33"/>
        <v>23.399999999999999</v>
      </c>
      <c r="O147" s="6">
        <f t="shared" si="34"/>
        <v>55.99785257950407</v>
      </c>
      <c r="P147" s="7">
        <f t="shared" si="35"/>
        <v>129.40340222144135</v>
      </c>
      <c r="Q147" s="7"/>
      <c r="R147" s="7">
        <f t="shared" si="36"/>
        <v>4.2232666110881967</v>
      </c>
      <c r="S147" s="7">
        <f t="shared" si="37"/>
        <v>6.8583803177363913</v>
      </c>
      <c r="T147" s="7">
        <f t="shared" si="38"/>
        <v>6.8583803177363913</v>
      </c>
      <c r="U147" s="7">
        <f t="shared" si="39"/>
        <v>5.631170927055738</v>
      </c>
      <c r="V147" s="7">
        <f t="shared" si="40"/>
        <v>5.631170927055738</v>
      </c>
      <c r="W147" s="7">
        <f t="shared" si="41"/>
        <v>6.2959914542538513</v>
      </c>
      <c r="X147" s="7">
        <f t="shared" si="42"/>
        <v>8.4468689111264954</v>
      </c>
      <c r="Y147" s="7">
        <f t="shared" si="43"/>
        <v>0.5474585490608318</v>
      </c>
    </row>
    <row r="148" ht="14.25">
      <c r="A148">
        <v>12</v>
      </c>
      <c r="B148">
        <f t="shared" si="25"/>
        <v>3.6000000000000001</v>
      </c>
      <c r="E148">
        <f t="shared" si="26"/>
        <v>0.1908</v>
      </c>
      <c r="F148">
        <f t="shared" si="27"/>
        <v>0.1908</v>
      </c>
      <c r="G148">
        <f t="shared" si="28"/>
        <v>2.3545482936149655</v>
      </c>
      <c r="H148">
        <f t="shared" si="29"/>
        <v>2.3545482936149655</v>
      </c>
      <c r="I148">
        <f t="shared" si="30"/>
        <v>-0.010060867899917003</v>
      </c>
      <c r="J148">
        <f t="shared" si="31"/>
        <v>2.3545697883112418</v>
      </c>
      <c r="K148" s="6">
        <f t="shared" si="32"/>
        <v>0.18043199999999998</v>
      </c>
      <c r="N148" s="6">
        <f t="shared" si="33"/>
        <v>21.600000000000001</v>
      </c>
      <c r="O148" s="6">
        <f t="shared" si="34"/>
        <v>51.905561928539598</v>
      </c>
      <c r="P148" s="7">
        <f t="shared" si="35"/>
        <v>131.09848451024345</v>
      </c>
      <c r="Q148" s="7"/>
      <c r="R148" s="7">
        <f t="shared" si="36"/>
        <v>4.0063752065870801</v>
      </c>
      <c r="S148" s="7">
        <f t="shared" si="37"/>
        <v>6.9482196790429027</v>
      </c>
      <c r="T148" s="7">
        <f t="shared" si="38"/>
        <v>6.9482196790429027</v>
      </c>
      <c r="U148" s="7">
        <f t="shared" si="39"/>
        <v>5.4327219562878604</v>
      </c>
      <c r="V148" s="7">
        <f t="shared" si="40"/>
        <v>5.4327219562878604</v>
      </c>
      <c r="W148" s="7">
        <f t="shared" si="41"/>
        <v>6.4269298681529348</v>
      </c>
      <c r="X148" s="7">
        <f t="shared" si="42"/>
        <v>8.4154557443128706</v>
      </c>
      <c r="Y148" s="7">
        <f t="shared" si="43"/>
        <v>0.50797850039576109</v>
      </c>
    </row>
    <row r="149" ht="14.25">
      <c r="A149">
        <v>11</v>
      </c>
      <c r="B149">
        <f t="shared" si="25"/>
        <v>3.2999999999999998</v>
      </c>
      <c r="E149">
        <f t="shared" si="26"/>
        <v>0.17489999999999997</v>
      </c>
      <c r="F149">
        <f t="shared" si="27"/>
        <v>0.17489999999999997</v>
      </c>
      <c r="G149">
        <f t="shared" si="28"/>
        <v>2.3512843045115916</v>
      </c>
      <c r="H149">
        <f t="shared" si="29"/>
        <v>2.3512843045115916</v>
      </c>
      <c r="I149">
        <f t="shared" si="30"/>
        <v>-0.025960867899917028</v>
      </c>
      <c r="J149">
        <f t="shared" si="31"/>
        <v>2.3514276189805789</v>
      </c>
      <c r="K149" s="6">
        <f t="shared" si="32"/>
        <v>0.180396</v>
      </c>
      <c r="N149" s="6">
        <f t="shared" si="33"/>
        <v>19.800000000000001</v>
      </c>
      <c r="O149" s="6">
        <f t="shared" si="34"/>
        <v>47.762046754586081</v>
      </c>
      <c r="P149" s="7">
        <f t="shared" si="35"/>
        <v>132.66418842254578</v>
      </c>
      <c r="Q149" s="7"/>
      <c r="R149" s="7">
        <f t="shared" si="36"/>
        <v>3.7867689023675437</v>
      </c>
      <c r="S149" s="7">
        <f t="shared" si="37"/>
        <v>7.031201986394926</v>
      </c>
      <c r="T149" s="7">
        <f t="shared" si="38"/>
        <v>7.031201986394926</v>
      </c>
      <c r="U149" s="7">
        <f t="shared" si="39"/>
        <v>5.230150453764538</v>
      </c>
      <c r="V149" s="7">
        <f t="shared" si="40"/>
        <v>5.230150453764538</v>
      </c>
      <c r="W149" s="7">
        <f t="shared" si="41"/>
        <v>6.551525678204797</v>
      </c>
      <c r="X149" s="7">
        <f t="shared" si="42"/>
        <v>8.3831355995945955</v>
      </c>
      <c r="Y149" s="7">
        <f t="shared" si="43"/>
        <v>0.46787629981185574</v>
      </c>
    </row>
    <row r="150" ht="14.25">
      <c r="A150">
        <v>10</v>
      </c>
      <c r="B150">
        <f t="shared" si="25"/>
        <v>3</v>
      </c>
      <c r="E150">
        <f t="shared" si="26"/>
        <v>0.159</v>
      </c>
      <c r="F150">
        <f t="shared" si="27"/>
        <v>0.159</v>
      </c>
      <c r="G150">
        <f t="shared" si="28"/>
        <v>2.3480203154082182</v>
      </c>
      <c r="H150">
        <f t="shared" si="29"/>
        <v>2.3480203154082182</v>
      </c>
      <c r="I150">
        <f t="shared" si="30"/>
        <v>-0.041860867899916998</v>
      </c>
      <c r="J150">
        <f t="shared" si="31"/>
        <v>2.3483934367628954</v>
      </c>
      <c r="K150" s="6">
        <f t="shared" si="32"/>
        <v>0.18035999999999999</v>
      </c>
      <c r="N150" s="6">
        <f t="shared" si="33"/>
        <v>18</v>
      </c>
      <c r="O150" s="6">
        <f t="shared" si="34"/>
        <v>43.571396206867583</v>
      </c>
      <c r="P150" s="7">
        <f t="shared" si="35"/>
        <v>134.09896879761664</v>
      </c>
      <c r="Q150" s="7"/>
      <c r="R150" s="7">
        <f t="shared" si="36"/>
        <v>3.5646644233384635</v>
      </c>
      <c r="S150" s="7">
        <f t="shared" si="37"/>
        <v>7.1072453462736815</v>
      </c>
      <c r="T150" s="7">
        <f t="shared" si="38"/>
        <v>7.1072453462736815</v>
      </c>
      <c r="U150" s="7">
        <f t="shared" si="39"/>
        <v>5.0236563331020099</v>
      </c>
      <c r="V150" s="7">
        <f t="shared" si="40"/>
        <v>5.0236563331020099</v>
      </c>
      <c r="W150" s="7">
        <f t="shared" si="41"/>
        <v>6.6696559233875528</v>
      </c>
      <c r="X150" s="7">
        <f t="shared" si="42"/>
        <v>8.349936112898984</v>
      </c>
      <c r="Y150" s="7">
        <f t="shared" si="43"/>
        <v>0.4271998416642882</v>
      </c>
    </row>
    <row r="151" ht="14.25">
      <c r="A151">
        <v>9</v>
      </c>
      <c r="B151">
        <f t="shared" si="25"/>
        <v>2.7000000000000002</v>
      </c>
      <c r="E151">
        <f t="shared" si="26"/>
        <v>0.1431</v>
      </c>
      <c r="F151">
        <f t="shared" si="27"/>
        <v>0.1431</v>
      </c>
      <c r="G151">
        <f t="shared" si="28"/>
        <v>2.3447563263048443</v>
      </c>
      <c r="H151">
        <f t="shared" si="29"/>
        <v>2.3447563263048443</v>
      </c>
      <c r="I151">
        <f t="shared" si="30"/>
        <v>-0.057760867899916996</v>
      </c>
      <c r="J151">
        <f t="shared" si="31"/>
        <v>2.3454676607463893</v>
      </c>
      <c r="K151" s="6">
        <f t="shared" si="32"/>
        <v>0.18032399999999998</v>
      </c>
      <c r="N151" s="6">
        <f t="shared" si="33"/>
        <v>16.199999999999999</v>
      </c>
      <c r="O151" s="6">
        <f t="shared" si="34"/>
        <v>39.337745951531325</v>
      </c>
      <c r="P151" s="7">
        <f t="shared" si="35"/>
        <v>135.40140968044898</v>
      </c>
      <c r="Q151" s="7"/>
      <c r="R151" s="7">
        <f t="shared" si="36"/>
        <v>3.3402809598056411</v>
      </c>
      <c r="S151" s="7">
        <f t="shared" si="37"/>
        <v>7.1762747130637958</v>
      </c>
      <c r="T151" s="7">
        <f t="shared" si="38"/>
        <v>7.1762747130637958</v>
      </c>
      <c r="U151" s="7">
        <f t="shared" si="39"/>
        <v>4.8134433790670315</v>
      </c>
      <c r="V151" s="7">
        <f t="shared" si="40"/>
        <v>4.8134433790670315</v>
      </c>
      <c r="W151" s="7">
        <f t="shared" si="41"/>
        <v>6.7812040234112443</v>
      </c>
      <c r="X151" s="7">
        <f t="shared" si="42"/>
        <v>8.3158863129923262</v>
      </c>
      <c r="Y151" s="7">
        <f t="shared" si="43"/>
        <v>0.38599803109671421</v>
      </c>
    </row>
    <row r="152" ht="14.25">
      <c r="A152">
        <v>8</v>
      </c>
      <c r="B152">
        <f t="shared" si="25"/>
        <v>2.3999999999999999</v>
      </c>
      <c r="E152">
        <f t="shared" si="26"/>
        <v>0.12719999999999998</v>
      </c>
      <c r="F152">
        <f t="shared" si="27"/>
        <v>0.12719999999999998</v>
      </c>
      <c r="G152">
        <f t="shared" si="28"/>
        <v>2.3414923372014709</v>
      </c>
      <c r="H152">
        <f t="shared" si="29"/>
        <v>2.3414923372014709</v>
      </c>
      <c r="I152">
        <f t="shared" si="30"/>
        <v>-0.073660867899917021</v>
      </c>
      <c r="J152">
        <f t="shared" si="31"/>
        <v>2.3426506971021044</v>
      </c>
      <c r="K152" s="6">
        <f t="shared" si="32"/>
        <v>0.180288</v>
      </c>
      <c r="N152" s="6">
        <f t="shared" si="33"/>
        <v>14.4</v>
      </c>
      <c r="O152" s="6">
        <f t="shared" si="34"/>
        <v>35.065274090244529</v>
      </c>
      <c r="P152" s="7">
        <f t="shared" si="35"/>
        <v>136.57022571913697</v>
      </c>
      <c r="Q152" s="7"/>
      <c r="R152" s="7">
        <f t="shared" si="36"/>
        <v>3.1138399511574413</v>
      </c>
      <c r="S152" s="7">
        <f t="shared" si="37"/>
        <v>7.2382219631142597</v>
      </c>
      <c r="T152" s="7">
        <f t="shared" si="38"/>
        <v>7.2382219631142597</v>
      </c>
      <c r="U152" s="7">
        <f t="shared" si="39"/>
        <v>4.5997190464659177</v>
      </c>
      <c r="V152" s="7">
        <f t="shared" si="40"/>
        <v>4.5997190464659177</v>
      </c>
      <c r="W152" s="7">
        <f t="shared" si="41"/>
        <v>6.8860598937685102</v>
      </c>
      <c r="X152" s="7">
        <f t="shared" si="42"/>
        <v>8.2810166143408086</v>
      </c>
      <c r="Y152" s="7">
        <f t="shared" si="43"/>
        <v>0.34432070119664931</v>
      </c>
    </row>
    <row r="153" ht="14.25">
      <c r="A153">
        <v>7</v>
      </c>
      <c r="B153">
        <f t="shared" si="25"/>
        <v>2.1000000000000001</v>
      </c>
      <c r="E153">
        <f t="shared" si="26"/>
        <v>0.1113</v>
      </c>
      <c r="F153">
        <f t="shared" si="27"/>
        <v>0.1113</v>
      </c>
      <c r="G153">
        <f t="shared" si="28"/>
        <v>2.338228348098097</v>
      </c>
      <c r="H153">
        <f t="shared" si="29"/>
        <v>2.338228348098097</v>
      </c>
      <c r="I153">
        <f t="shared" si="30"/>
        <v>-0.089560867899917004</v>
      </c>
      <c r="J153">
        <f t="shared" si="31"/>
        <v>2.3399429388146502</v>
      </c>
      <c r="K153" s="6">
        <f t="shared" si="32"/>
        <v>0.180252</v>
      </c>
      <c r="N153" s="6">
        <f t="shared" si="33"/>
        <v>12.6</v>
      </c>
      <c r="O153" s="6">
        <f t="shared" si="34"/>
        <v>30.758197036912495</v>
      </c>
      <c r="P153" s="7">
        <f t="shared" si="35"/>
        <v>137.6042634333634</v>
      </c>
      <c r="Q153" s="7"/>
      <c r="R153" s="7">
        <f t="shared" si="36"/>
        <v>2.8855648673308432</v>
      </c>
      <c r="S153" s="7">
        <f t="shared" si="37"/>
        <v>7.2930259619682598</v>
      </c>
      <c r="T153" s="7">
        <f t="shared" si="38"/>
        <v>7.2930259619682598</v>
      </c>
      <c r="U153" s="7">
        <f t="shared" si="39"/>
        <v>4.3826942554116943</v>
      </c>
      <c r="V153" s="7">
        <f t="shared" si="40"/>
        <v>4.3826942554116943</v>
      </c>
      <c r="W153" s="7">
        <f t="shared" si="41"/>
        <v>6.9841200543747153</v>
      </c>
      <c r="X153" s="7">
        <f t="shared" si="42"/>
        <v>8.2453588078589846</v>
      </c>
      <c r="Y153" s="7">
        <f t="shared" si="43"/>
        <v>0.30221852761902812</v>
      </c>
    </row>
    <row r="154" ht="14.25">
      <c r="A154">
        <v>6</v>
      </c>
      <c r="B154">
        <f t="shared" si="25"/>
        <v>1.8</v>
      </c>
      <c r="E154">
        <f t="shared" si="26"/>
        <v>0.095399999999999999</v>
      </c>
      <c r="F154">
        <f t="shared" si="27"/>
        <v>0.095399999999999999</v>
      </c>
      <c r="G154">
        <f t="shared" si="28"/>
        <v>2.3349643589947235</v>
      </c>
      <c r="H154">
        <f t="shared" si="29"/>
        <v>2.3349643589947235</v>
      </c>
      <c r="I154">
        <f t="shared" si="30"/>
        <v>-0.105460867899917</v>
      </c>
      <c r="J154">
        <f t="shared" si="31"/>
        <v>2.3373447654194801</v>
      </c>
      <c r="K154" s="6">
        <f t="shared" si="32"/>
        <v>0.18021599999999999</v>
      </c>
      <c r="N154" s="6">
        <f t="shared" si="33"/>
        <v>10.800000000000001</v>
      </c>
      <c r="O154" s="6">
        <f t="shared" si="34"/>
        <v>26.420765356587172</v>
      </c>
      <c r="P154" s="7">
        <f t="shared" si="35"/>
        <v>138.5025023527451</v>
      </c>
      <c r="Q154" s="7"/>
      <c r="R154" s="7">
        <f t="shared" si="36"/>
        <v>2.6556809882736014</v>
      </c>
      <c r="S154" s="7">
        <f t="shared" si="37"/>
        <v>7.3406326246954903</v>
      </c>
      <c r="T154" s="7">
        <f t="shared" si="38"/>
        <v>7.3406326246954903</v>
      </c>
      <c r="U154" s="7">
        <f t="shared" si="39"/>
        <v>4.1625831831714128</v>
      </c>
      <c r="V154" s="7">
        <f t="shared" si="40"/>
        <v>4.1625831831714128</v>
      </c>
      <c r="W154" s="7">
        <f t="shared" si="41"/>
        <v>7.075287731690282</v>
      </c>
      <c r="X154" s="7">
        <f t="shared" si="42"/>
        <v>8.2089460494650872</v>
      </c>
      <c r="Y154" s="7">
        <f t="shared" si="43"/>
        <v>0.25974294090505673</v>
      </c>
    </row>
    <row r="155" ht="14.25">
      <c r="A155">
        <v>5</v>
      </c>
      <c r="B155">
        <f t="shared" si="25"/>
        <v>1.5</v>
      </c>
      <c r="E155">
        <f t="shared" si="26"/>
        <v>0.079500000000000001</v>
      </c>
      <c r="F155">
        <f t="shared" si="27"/>
        <v>0.079500000000000001</v>
      </c>
      <c r="G155">
        <f t="shared" si="28"/>
        <v>2.3317003698913497</v>
      </c>
      <c r="H155">
        <f t="shared" si="29"/>
        <v>2.3317003698913497</v>
      </c>
      <c r="I155">
        <f t="shared" si="30"/>
        <v>-0.121360867899917</v>
      </c>
      <c r="J155">
        <f t="shared" si="31"/>
        <v>2.3348565427470866</v>
      </c>
      <c r="K155" s="6">
        <f t="shared" si="32"/>
        <v>0.18017999999999998</v>
      </c>
      <c r="N155" s="6">
        <f t="shared" si="33"/>
        <v>9</v>
      </c>
      <c r="O155" s="6">
        <f t="shared" si="34"/>
        <v>22.057259570672553</v>
      </c>
      <c r="P155" s="7">
        <f t="shared" si="35"/>
        <v>139.26405602391443</v>
      </c>
      <c r="Q155" s="7"/>
      <c r="R155" s="7">
        <f t="shared" si="36"/>
        <v>2.4244151816201267</v>
      </c>
      <c r="S155" s="7">
        <f t="shared" si="37"/>
        <v>7.3809949692674648</v>
      </c>
      <c r="T155" s="7">
        <f t="shared" si="38"/>
        <v>7.3809949692674648</v>
      </c>
      <c r="U155" s="7">
        <f t="shared" si="39"/>
        <v>3.9396030527990415</v>
      </c>
      <c r="V155" s="7">
        <f t="shared" si="40"/>
        <v>3.9396030527990415</v>
      </c>
      <c r="W155" s="7">
        <f t="shared" si="41"/>
        <v>7.1594729542245128</v>
      </c>
      <c r="X155" s="7">
        <f t="shared" si="42"/>
        <v>8.1718128463576427</v>
      </c>
      <c r="Y155" s="7">
        <f t="shared" si="43"/>
        <v>0.21694603673155793</v>
      </c>
    </row>
    <row r="156" ht="14.25">
      <c r="A156">
        <v>4</v>
      </c>
      <c r="B156">
        <f t="shared" si="25"/>
        <v>1.2</v>
      </c>
      <c r="E156">
        <f t="shared" si="26"/>
        <v>0.06359999999999999</v>
      </c>
      <c r="F156">
        <f t="shared" si="27"/>
        <v>0.06359999999999999</v>
      </c>
      <c r="G156">
        <f t="shared" si="28"/>
        <v>2.3284363807879762</v>
      </c>
      <c r="H156">
        <f t="shared" si="29"/>
        <v>2.3284363807879762</v>
      </c>
      <c r="I156">
        <f t="shared" si="30"/>
        <v>-0.13726086789991701</v>
      </c>
      <c r="J156">
        <f t="shared" si="31"/>
        <v>2.3324786226745249</v>
      </c>
      <c r="K156" s="6">
        <f t="shared" si="32"/>
        <v>0.180144</v>
      </c>
      <c r="N156" s="6">
        <f t="shared" si="33"/>
        <v>7.2000000000000002</v>
      </c>
      <c r="O156" s="6">
        <f t="shared" si="34"/>
        <v>17.671985932566901</v>
      </c>
      <c r="P156" s="7">
        <f t="shared" si="35"/>
        <v>139.88817288534139</v>
      </c>
      <c r="Q156" s="7"/>
      <c r="R156" s="7">
        <f t="shared" si="36"/>
        <v>2.1919956788005273</v>
      </c>
      <c r="S156" s="7">
        <f t="shared" si="37"/>
        <v>7.4140731629230938</v>
      </c>
      <c r="T156" s="7">
        <f t="shared" si="38"/>
        <v>7.4140731629230938</v>
      </c>
      <c r="U156" s="7">
        <f t="shared" si="39"/>
        <v>3.71397391876254</v>
      </c>
      <c r="V156" s="7">
        <f t="shared" si="40"/>
        <v>3.71397391876254</v>
      </c>
      <c r="W156" s="7">
        <f t="shared" si="41"/>
        <v>7.2365926413265687</v>
      </c>
      <c r="X156" s="7">
        <f t="shared" si="42"/>
        <v>8.133995040922402</v>
      </c>
      <c r="Y156" s="7">
        <f t="shared" si="43"/>
        <v>0.17388048433327555</v>
      </c>
    </row>
    <row r="157" ht="14.25">
      <c r="A157">
        <v>3</v>
      </c>
      <c r="B157">
        <f t="shared" si="25"/>
        <v>0.90000000000000002</v>
      </c>
      <c r="E157">
        <f t="shared" si="26"/>
        <v>0.047699999999999999</v>
      </c>
      <c r="F157">
        <f t="shared" si="27"/>
        <v>0.047699999999999999</v>
      </c>
      <c r="G157">
        <f t="shared" si="28"/>
        <v>2.3251723916846023</v>
      </c>
      <c r="H157">
        <f t="shared" si="29"/>
        <v>2.3251723916846023</v>
      </c>
      <c r="I157">
        <f t="shared" si="30"/>
        <v>-0.15316086789991701</v>
      </c>
      <c r="J157">
        <f t="shared" si="31"/>
        <v>2.330211342884621</v>
      </c>
      <c r="K157" s="6">
        <f t="shared" si="32"/>
        <v>0.18010799999999999</v>
      </c>
      <c r="N157" s="6">
        <f t="shared" si="33"/>
        <v>5.4000000000000004</v>
      </c>
      <c r="O157" s="6">
        <f t="shared" si="34"/>
        <v>13.269272177910519</v>
      </c>
      <c r="P157" s="7">
        <f t="shared" si="35"/>
        <v>140.37423700903429</v>
      </c>
      <c r="Q157" s="7"/>
      <c r="R157" s="7">
        <f t="shared" si="36"/>
        <v>1.9586518498037386</v>
      </c>
      <c r="S157" s="7">
        <f t="shared" si="37"/>
        <v>7.4398345614788175</v>
      </c>
      <c r="T157" s="7">
        <f t="shared" si="38"/>
        <v>7.4398345614788175</v>
      </c>
      <c r="U157" s="7">
        <f t="shared" si="39"/>
        <v>3.485918449776666</v>
      </c>
      <c r="V157" s="7">
        <f t="shared" si="40"/>
        <v>3.485918449776666</v>
      </c>
      <c r="W157" s="7">
        <f t="shared" si="41"/>
        <v>7.3065706851760508</v>
      </c>
      <c r="X157" s="7">
        <f t="shared" si="42"/>
        <v>8.0955297921734175</v>
      </c>
      <c r="Y157" s="7">
        <f t="shared" si="43"/>
        <v>0.13059943334703106</v>
      </c>
    </row>
    <row r="158" ht="14.25">
      <c r="A158">
        <v>2</v>
      </c>
      <c r="B158">
        <f t="shared" si="25"/>
        <v>0.59999999999999998</v>
      </c>
      <c r="E158">
        <f t="shared" si="26"/>
        <v>0.031799999999999995</v>
      </c>
      <c r="F158">
        <f t="shared" si="27"/>
        <v>0.031799999999999995</v>
      </c>
      <c r="G158">
        <f t="shared" si="28"/>
        <v>2.3219084025812289</v>
      </c>
      <c r="H158">
        <f t="shared" si="29"/>
        <v>2.3219084025812289</v>
      </c>
      <c r="I158">
        <f t="shared" si="30"/>
        <v>-0.16906086789991701</v>
      </c>
      <c r="J158">
        <f t="shared" si="31"/>
        <v>2.3280550266332596</v>
      </c>
      <c r="K158" s="6">
        <f t="shared" si="32"/>
        <v>0.18007200000000001</v>
      </c>
      <c r="N158" s="6">
        <f t="shared" si="33"/>
        <v>3.6000000000000001</v>
      </c>
      <c r="O158" s="6">
        <f t="shared" si="34"/>
        <v>8.8534632536331852</v>
      </c>
      <c r="P158" s="7">
        <f t="shared" si="35"/>
        <v>140.72176870838629</v>
      </c>
      <c r="Q158" s="7"/>
      <c r="R158" s="7">
        <f t="shared" si="36"/>
        <v>1.7246139768170401</v>
      </c>
      <c r="S158" s="7">
        <f t="shared" si="37"/>
        <v>7.458253741544473</v>
      </c>
      <c r="T158" s="7">
        <f t="shared" si="38"/>
        <v>7.458253741544473</v>
      </c>
      <c r="U158" s="7">
        <f t="shared" si="39"/>
        <v>3.2556617090558406</v>
      </c>
      <c r="V158" s="7">
        <f t="shared" si="40"/>
        <v>3.2556617090558406</v>
      </c>
      <c r="W158" s="7">
        <f t="shared" si="41"/>
        <v>7.3693380258922341</v>
      </c>
      <c r="X158" s="7">
        <f t="shared" si="42"/>
        <v>8.0564555546265897</v>
      </c>
      <c r="Y158" s="7">
        <f t="shared" si="43"/>
        <v>0.087156419332174453</v>
      </c>
    </row>
    <row r="159" ht="14.25">
      <c r="A159">
        <v>1</v>
      </c>
      <c r="B159">
        <f t="shared" si="25"/>
        <v>0.29999999999999999</v>
      </c>
      <c r="E159">
        <f t="shared" si="26"/>
        <v>0.015899999999999997</v>
      </c>
      <c r="F159">
        <f t="shared" si="27"/>
        <v>0.015899999999999997</v>
      </c>
      <c r="G159">
        <f t="shared" si="28"/>
        <v>2.318644413477855</v>
      </c>
      <c r="H159">
        <f t="shared" si="29"/>
        <v>2.318644413477855</v>
      </c>
      <c r="I159">
        <f t="shared" si="30"/>
        <v>-0.184960867899917</v>
      </c>
      <c r="J159">
        <f t="shared" si="31"/>
        <v>2.3260099825250871</v>
      </c>
      <c r="K159" s="6">
        <f t="shared" si="32"/>
        <v>0.18003599999999997</v>
      </c>
      <c r="N159" s="6">
        <f t="shared" si="33"/>
        <v>1.8</v>
      </c>
      <c r="O159" s="6">
        <f t="shared" si="34"/>
        <v>4.4289170300160894</v>
      </c>
      <c r="P159" s="7">
        <f t="shared" si="35"/>
        <v>140.93042501156816</v>
      </c>
      <c r="Q159" s="7"/>
      <c r="R159" s="7">
        <f t="shared" si="36"/>
        <v>1.490113026965334</v>
      </c>
      <c r="S159" s="7">
        <f t="shared" si="37"/>
        <v>7.4693125256131125</v>
      </c>
      <c r="T159" s="7">
        <f t="shared" si="38"/>
        <v>7.4693125256131125</v>
      </c>
      <c r="U159" s="7">
        <f t="shared" si="39"/>
        <v>3.0234309322039206</v>
      </c>
      <c r="V159" s="7">
        <f t="shared" si="40"/>
        <v>3.0234309322039206</v>
      </c>
      <c r="W159" s="7">
        <f t="shared" si="41"/>
        <v>7.4248327196878252</v>
      </c>
      <c r="X159" s="7">
        <f t="shared" si="42"/>
        <v>8.0168120544986188</v>
      </c>
      <c r="Y159" s="7">
        <f t="shared" si="43"/>
        <v>0.04360526822643164</v>
      </c>
    </row>
    <row r="160" ht="14.25">
      <c r="A160">
        <v>0</v>
      </c>
      <c r="B160">
        <f t="shared" si="25"/>
        <v>0</v>
      </c>
      <c r="E160">
        <f t="shared" si="26"/>
        <v>0</v>
      </c>
      <c r="F160">
        <f t="shared" si="27"/>
        <v>0</v>
      </c>
      <c r="G160">
        <f t="shared" si="28"/>
        <v>2.3153804243744815</v>
      </c>
      <c r="H160">
        <f t="shared" si="29"/>
        <v>2.3153804243744815</v>
      </c>
      <c r="I160">
        <f t="shared" si="30"/>
        <v>-0.200860867899917</v>
      </c>
      <c r="J160">
        <f t="shared" si="31"/>
        <v>2.3240765042980107</v>
      </c>
      <c r="K160" s="6">
        <f t="shared" si="32"/>
        <v>0.17999999999999999</v>
      </c>
      <c r="N160" s="6">
        <f t="shared" si="33"/>
        <v>0</v>
      </c>
      <c r="O160" s="6">
        <f t="shared" si="34"/>
        <v>0</v>
      </c>
      <c r="P160" s="7">
        <f t="shared" si="35"/>
        <v>141</v>
      </c>
      <c r="Q160" s="7"/>
      <c r="R160" s="7">
        <f t="shared" si="36"/>
        <v>1.2553804243744813</v>
      </c>
      <c r="S160" s="7">
        <f t="shared" si="37"/>
        <v>7.4729999999999999</v>
      </c>
      <c r="T160" s="7">
        <f t="shared" si="38"/>
        <v>7.4729999999999999</v>
      </c>
      <c r="U160" s="7">
        <f t="shared" si="39"/>
        <v>2.7894553029600972</v>
      </c>
      <c r="V160" s="7">
        <f t="shared" si="40"/>
        <v>2.7894553029600972</v>
      </c>
      <c r="W160" s="7">
        <f t="shared" si="41"/>
        <v>7.4729999999999999</v>
      </c>
      <c r="X160" s="7">
        <f t="shared" si="42"/>
        <v>7.9766402631190658</v>
      </c>
      <c r="Y160" s="7">
        <f t="shared" si="43"/>
        <v>0</v>
      </c>
    </row>
    <row r="161" ht="14.25">
      <c r="A161">
        <v>-1</v>
      </c>
      <c r="B161">
        <f t="shared" si="25"/>
        <v>-0.29999999999999999</v>
      </c>
      <c r="E161">
        <f t="shared" si="26"/>
        <v>-0.015899999999999997</v>
      </c>
      <c r="F161">
        <f t="shared" si="27"/>
        <v>-0.015899999999999997</v>
      </c>
      <c r="G161">
        <f t="shared" si="28"/>
        <v>2.3121164352711081</v>
      </c>
      <c r="H161">
        <f t="shared" si="29"/>
        <v>2.3121164352711081</v>
      </c>
      <c r="I161">
        <f t="shared" si="30"/>
        <v>-0.216760867899917</v>
      </c>
      <c r="J161">
        <f t="shared" si="31"/>
        <v>2.3222548706168111</v>
      </c>
      <c r="K161" s="6">
        <f t="shared" si="32"/>
        <v>0.17996400000000001</v>
      </c>
      <c r="N161" s="6">
        <f t="shared" si="33"/>
        <v>-1.8</v>
      </c>
      <c r="O161" s="6">
        <f t="shared" si="34"/>
        <v>-4.4289170300160894</v>
      </c>
      <c r="P161" s="7">
        <f t="shared" si="35"/>
        <v>140.93042501156816</v>
      </c>
      <c r="Q161" s="7"/>
      <c r="R161" s="7">
        <f t="shared" si="36"/>
        <v>1.0206478217836286</v>
      </c>
      <c r="S161" s="7">
        <f t="shared" si="37"/>
        <v>7.4693125256131125</v>
      </c>
      <c r="T161" s="7">
        <f t="shared" si="38"/>
        <v>7.4693125256131125</v>
      </c>
      <c r="U161" s="7">
        <f t="shared" si="39"/>
        <v>2.5539657270222151</v>
      </c>
      <c r="V161" s="7">
        <f t="shared" si="40"/>
        <v>2.5539657270222151</v>
      </c>
      <c r="W161" s="7">
        <f t="shared" si="41"/>
        <v>7.5137923315383999</v>
      </c>
      <c r="X161" s="7">
        <f t="shared" si="42"/>
        <v>7.9359823674381591</v>
      </c>
      <c r="Y161" s="7">
        <f t="shared" si="43"/>
        <v>-0.04360526822643164</v>
      </c>
    </row>
    <row r="162" ht="14.25">
      <c r="A162">
        <v>-2</v>
      </c>
      <c r="B162">
        <f t="shared" si="25"/>
        <v>-0.59999999999999998</v>
      </c>
      <c r="E162">
        <f t="shared" si="26"/>
        <v>-0.031799999999999995</v>
      </c>
      <c r="F162">
        <f t="shared" si="27"/>
        <v>-0.031799999999999995</v>
      </c>
      <c r="G162">
        <f t="shared" si="28"/>
        <v>2.3088524461677342</v>
      </c>
      <c r="H162">
        <f t="shared" si="29"/>
        <v>2.3088524461677342</v>
      </c>
      <c r="I162">
        <f t="shared" si="30"/>
        <v>-0.232660867899917</v>
      </c>
      <c r="J162">
        <f t="shared" si="31"/>
        <v>2.3205453448762152</v>
      </c>
      <c r="K162" s="6">
        <f t="shared" si="32"/>
        <v>0.17992799999999998</v>
      </c>
      <c r="N162" s="6">
        <f t="shared" si="33"/>
        <v>-3.6000000000000001</v>
      </c>
      <c r="O162" s="6">
        <f t="shared" si="34"/>
        <v>-8.8534632536331852</v>
      </c>
      <c r="P162" s="7">
        <f t="shared" si="35"/>
        <v>140.72176870838629</v>
      </c>
      <c r="Q162" s="7"/>
      <c r="R162" s="7">
        <f t="shared" si="36"/>
        <v>0.78614687193192245</v>
      </c>
      <c r="S162" s="7">
        <f t="shared" si="37"/>
        <v>7.458253741544473</v>
      </c>
      <c r="T162" s="7">
        <f t="shared" si="38"/>
        <v>7.458253741544473</v>
      </c>
      <c r="U162" s="7">
        <f t="shared" si="39"/>
        <v>2.317194604170723</v>
      </c>
      <c r="V162" s="7">
        <f t="shared" si="40"/>
        <v>2.317194604170723</v>
      </c>
      <c r="W162" s="7">
        <f t="shared" si="41"/>
        <v>7.5471694571967118</v>
      </c>
      <c r="X162" s="7">
        <f t="shared" si="42"/>
        <v>7.8948817375082205</v>
      </c>
      <c r="Y162" s="7">
        <f t="shared" si="43"/>
        <v>-0.087156419332174453</v>
      </c>
    </row>
    <row r="163" ht="14.25">
      <c r="A163">
        <v>-3</v>
      </c>
      <c r="B163">
        <f t="shared" si="25"/>
        <v>-0.90000000000000002</v>
      </c>
      <c r="E163">
        <f t="shared" si="26"/>
        <v>-0.047699999999999999</v>
      </c>
      <c r="F163">
        <f t="shared" si="27"/>
        <v>-0.047699999999999999</v>
      </c>
      <c r="G163">
        <f t="shared" si="28"/>
        <v>2.3055884570643608</v>
      </c>
      <c r="H163">
        <f t="shared" si="29"/>
        <v>2.3055884570643608</v>
      </c>
      <c r="I163">
        <f t="shared" si="30"/>
        <v>-0.24856086789991699</v>
      </c>
      <c r="J163">
        <f t="shared" si="31"/>
        <v>2.3189481750137455</v>
      </c>
      <c r="K163" s="6">
        <f t="shared" si="32"/>
        <v>0.179892</v>
      </c>
      <c r="N163" s="6">
        <f t="shared" si="33"/>
        <v>-5.4000000000000004</v>
      </c>
      <c r="O163" s="6">
        <f t="shared" si="34"/>
        <v>-13.269272177910519</v>
      </c>
      <c r="P163" s="7">
        <f t="shared" si="35"/>
        <v>140.37423700903429</v>
      </c>
      <c r="Q163" s="7"/>
      <c r="R163" s="7">
        <f t="shared" si="36"/>
        <v>0.55210899894522381</v>
      </c>
      <c r="S163" s="7">
        <f t="shared" si="37"/>
        <v>7.4398345614788175</v>
      </c>
      <c r="T163" s="7">
        <f t="shared" si="38"/>
        <v>7.4398345614788175</v>
      </c>
      <c r="U163" s="7">
        <f t="shared" si="39"/>
        <v>2.0793755989181513</v>
      </c>
      <c r="V163" s="7">
        <f t="shared" si="40"/>
        <v>2.0793755989181513</v>
      </c>
      <c r="W163" s="7">
        <f t="shared" si="41"/>
        <v>7.5730984377815842</v>
      </c>
      <c r="X163" s="7">
        <f t="shared" si="42"/>
        <v>7.8533828908124734</v>
      </c>
      <c r="Y163" s="7">
        <f t="shared" si="43"/>
        <v>-0.13059943334703106</v>
      </c>
    </row>
    <row r="164" ht="14.25">
      <c r="A164">
        <v>-4</v>
      </c>
      <c r="B164">
        <f t="shared" ref="B164:B227" si="44">$B$27*A164/100</f>
        <v>-1.2</v>
      </c>
      <c r="E164">
        <f t="shared" ref="E164:E227" si="45">B164*$B$7</f>
        <v>-0.06359999999999999</v>
      </c>
      <c r="F164">
        <f t="shared" ref="F164:F227" si="46">E164</f>
        <v>-0.06359999999999999</v>
      </c>
      <c r="G164">
        <f t="shared" ref="G164:G227" si="47">$D$60+B164*$B$8*$B$14</f>
        <v>2.3023244679609869</v>
      </c>
      <c r="H164">
        <f t="shared" ref="H164:H227" si="48">G164</f>
        <v>2.3023244679609869</v>
      </c>
      <c r="I164">
        <f t="shared" ref="I164:I227" si="49">E164-$B$26*$B$14*$B$9</f>
        <v>-0.26446086789991696</v>
      </c>
      <c r="J164">
        <f t="shared" ref="J164:J227" si="50">SQRT(I164*I164+H164*H164)</f>
        <v>2.3174635933326373</v>
      </c>
      <c r="K164" s="6">
        <f t="shared" ref="K164:K227" si="51">1.5*$B$13*($B$26*$B$6+$B$26*B164*($B$8-$B$9))</f>
        <v>0.17985599999999999</v>
      </c>
      <c r="N164" s="6">
        <f t="shared" ref="N164:N227" si="52">180*A164/100</f>
        <v>-7.2000000000000002</v>
      </c>
      <c r="O164" s="6">
        <f t="shared" ref="O164:O227" si="53">$B$31*SIN(N164/180*PI())</f>
        <v>-17.671985932566901</v>
      </c>
      <c r="P164" s="7">
        <f t="shared" ref="P164:P227" si="54">$B$31*COS(N164/180*PI())</f>
        <v>139.88817288534139</v>
      </c>
      <c r="Q164" s="7"/>
      <c r="R164" s="7">
        <f t="shared" ref="R164:R227" si="55">$Q$60+O164*$B$7</f>
        <v>0.31876516994843551</v>
      </c>
      <c r="S164" s="7">
        <f t="shared" ref="S164:S227" si="56">P164*$B$7</f>
        <v>7.4140731629230938</v>
      </c>
      <c r="T164" s="7">
        <f t="shared" ref="T164:T227" si="57">S164</f>
        <v>7.4140731629230938</v>
      </c>
      <c r="U164" s="7">
        <f t="shared" ref="U164:U227" si="58">R164+P164*$B$8*$B$14</f>
        <v>1.840743409910448</v>
      </c>
      <c r="V164" s="7">
        <f t="shared" ref="V164:V227" si="59">U164</f>
        <v>1.840743409910448</v>
      </c>
      <c r="W164" s="7">
        <f t="shared" ref="W164:W227" si="60">S164-O164*$B$14*$B$9</f>
        <v>7.591553684519619</v>
      </c>
      <c r="X164" s="7">
        <f t="shared" ref="X164:X227" si="61">SQRT(W164*W164+V164*V164)</f>
        <v>7.8115314533113249</v>
      </c>
      <c r="Y164" s="7">
        <f t="shared" ref="Y164:Y227" si="62">1.5*$B$13*(O164*$B$6+O164*P164*($B$8-$B$9))</f>
        <v>-0.17388048433327555</v>
      </c>
    </row>
    <row r="165" ht="14.25">
      <c r="A165">
        <v>-5</v>
      </c>
      <c r="B165">
        <f t="shared" si="44"/>
        <v>-1.5</v>
      </c>
      <c r="E165">
        <f t="shared" si="45"/>
        <v>-0.079500000000000001</v>
      </c>
      <c r="F165">
        <f t="shared" si="46"/>
        <v>-0.079500000000000001</v>
      </c>
      <c r="G165">
        <f t="shared" si="47"/>
        <v>2.2990604788576134</v>
      </c>
      <c r="H165">
        <f t="shared" si="48"/>
        <v>2.2990604788576134</v>
      </c>
      <c r="I165">
        <f t="shared" si="49"/>
        <v>-0.28036086789991699</v>
      </c>
      <c r="J165">
        <f t="shared" si="50"/>
        <v>2.3160918163351369</v>
      </c>
      <c r="K165" s="6">
        <f t="shared" si="51"/>
        <v>0.17982000000000001</v>
      </c>
      <c r="N165" s="6">
        <f t="shared" si="52"/>
        <v>-9</v>
      </c>
      <c r="O165" s="6">
        <f t="shared" si="53"/>
        <v>-22.057259570672553</v>
      </c>
      <c r="P165" s="7">
        <f t="shared" si="54"/>
        <v>139.26405602391443</v>
      </c>
      <c r="Q165" s="7"/>
      <c r="R165" s="7">
        <f t="shared" si="55"/>
        <v>0.086345667128836068</v>
      </c>
      <c r="S165" s="7">
        <f t="shared" si="56"/>
        <v>7.3809949692674648</v>
      </c>
      <c r="T165" s="7">
        <f t="shared" si="57"/>
        <v>7.3809949692674648</v>
      </c>
      <c r="U165" s="7">
        <f t="shared" si="58"/>
        <v>1.6015335383077507</v>
      </c>
      <c r="V165" s="7">
        <f t="shared" si="59"/>
        <v>1.6015335383077507</v>
      </c>
      <c r="W165" s="7">
        <f t="shared" si="60"/>
        <v>7.6025169843104168</v>
      </c>
      <c r="X165" s="7">
        <f t="shared" si="61"/>
        <v>7.7693741170735819</v>
      </c>
      <c r="Y165" s="7">
        <f t="shared" si="62"/>
        <v>-0.21694603673155793</v>
      </c>
    </row>
    <row r="166" ht="14.25">
      <c r="A166">
        <v>-6</v>
      </c>
      <c r="B166">
        <f t="shared" si="44"/>
        <v>-1.8</v>
      </c>
      <c r="E166">
        <f t="shared" si="45"/>
        <v>-0.095399999999999999</v>
      </c>
      <c r="F166">
        <f t="shared" si="46"/>
        <v>-0.095399999999999999</v>
      </c>
      <c r="G166">
        <f t="shared" si="47"/>
        <v>2.2957964897542396</v>
      </c>
      <c r="H166">
        <f t="shared" si="48"/>
        <v>2.2957964897542396</v>
      </c>
      <c r="I166">
        <f t="shared" si="49"/>
        <v>-0.29626086789991701</v>
      </c>
      <c r="J166">
        <f t="shared" si="50"/>
        <v>2.3148330445664329</v>
      </c>
      <c r="K166" s="6">
        <f t="shared" si="51"/>
        <v>0.179784</v>
      </c>
      <c r="N166" s="6">
        <f t="shared" si="52"/>
        <v>-10.800000000000001</v>
      </c>
      <c r="O166" s="6">
        <f t="shared" si="53"/>
        <v>-26.420765356587172</v>
      </c>
      <c r="P166" s="7">
        <f t="shared" si="54"/>
        <v>138.5025023527451</v>
      </c>
      <c r="Q166" s="7"/>
      <c r="R166" s="7">
        <f t="shared" si="55"/>
        <v>-0.14492013952463889</v>
      </c>
      <c r="S166" s="7">
        <f t="shared" si="56"/>
        <v>7.3406326246954903</v>
      </c>
      <c r="T166" s="7">
        <f t="shared" si="57"/>
        <v>7.3406326246954903</v>
      </c>
      <c r="U166" s="7">
        <f t="shared" si="58"/>
        <v>1.3619820553731727</v>
      </c>
      <c r="V166" s="7">
        <f t="shared" si="59"/>
        <v>1.3619820553731727</v>
      </c>
      <c r="W166" s="7">
        <f t="shared" si="60"/>
        <v>7.6059775177006985</v>
      </c>
      <c r="X166" s="7">
        <f t="shared" si="61"/>
        <v>7.7269585943582619</v>
      </c>
      <c r="Y166" s="7">
        <f t="shared" si="62"/>
        <v>-0.25974294090505673</v>
      </c>
    </row>
    <row r="167" ht="14.25">
      <c r="A167">
        <v>-7</v>
      </c>
      <c r="B167">
        <f t="shared" si="44"/>
        <v>-2.1000000000000001</v>
      </c>
      <c r="E167">
        <f t="shared" si="45"/>
        <v>-0.1113</v>
      </c>
      <c r="F167">
        <f t="shared" si="46"/>
        <v>-0.1113</v>
      </c>
      <c r="G167">
        <f t="shared" si="47"/>
        <v>2.2925325006508661</v>
      </c>
      <c r="H167">
        <f t="shared" si="48"/>
        <v>2.2925325006508661</v>
      </c>
      <c r="I167">
        <f t="shared" si="49"/>
        <v>-0.31216086789991698</v>
      </c>
      <c r="J167">
        <f t="shared" si="50"/>
        <v>2.3136874624694976</v>
      </c>
      <c r="K167" s="6">
        <f t="shared" si="51"/>
        <v>0.17974799999999999</v>
      </c>
      <c r="N167" s="6">
        <f t="shared" si="52"/>
        <v>-12.6</v>
      </c>
      <c r="O167" s="6">
        <f t="shared" si="53"/>
        <v>-30.758197036912495</v>
      </c>
      <c r="P167" s="7">
        <f t="shared" si="54"/>
        <v>137.6042634333634</v>
      </c>
      <c r="Q167" s="7"/>
      <c r="R167" s="7">
        <f t="shared" si="55"/>
        <v>-0.37480401858188084</v>
      </c>
      <c r="S167" s="7">
        <f t="shared" si="56"/>
        <v>7.2930259619682598</v>
      </c>
      <c r="T167" s="7">
        <f t="shared" si="57"/>
        <v>7.2930259619682598</v>
      </c>
      <c r="U167" s="7">
        <f t="shared" si="58"/>
        <v>1.1223253694989708</v>
      </c>
      <c r="V167" s="7">
        <f t="shared" si="59"/>
        <v>1.1223253694989708</v>
      </c>
      <c r="W167" s="7">
        <f t="shared" si="60"/>
        <v>7.6019318695618043</v>
      </c>
      <c r="X167" s="7">
        <f t="shared" si="61"/>
        <v>7.6843335680122857</v>
      </c>
      <c r="Y167" s="7">
        <f t="shared" si="62"/>
        <v>-0.30221852761902812</v>
      </c>
    </row>
    <row r="168" ht="14.25">
      <c r="A168">
        <v>-8</v>
      </c>
      <c r="B168">
        <f t="shared" si="44"/>
        <v>-2.3999999999999999</v>
      </c>
      <c r="E168">
        <f t="shared" si="45"/>
        <v>-0.12719999999999998</v>
      </c>
      <c r="F168">
        <f t="shared" si="46"/>
        <v>-0.12719999999999998</v>
      </c>
      <c r="G168">
        <f t="shared" si="47"/>
        <v>2.2892685115474922</v>
      </c>
      <c r="H168">
        <f t="shared" si="48"/>
        <v>2.2892685115474922</v>
      </c>
      <c r="I168">
        <f t="shared" si="49"/>
        <v>-0.32806086789991695</v>
      </c>
      <c r="J168">
        <f t="shared" si="50"/>
        <v>2.3126552382510708</v>
      </c>
      <c r="K168" s="6">
        <f t="shared" si="51"/>
        <v>0.17971199999999998</v>
      </c>
      <c r="N168" s="6">
        <f t="shared" si="52"/>
        <v>-14.4</v>
      </c>
      <c r="O168" s="6">
        <f t="shared" si="53"/>
        <v>-35.065274090244529</v>
      </c>
      <c r="P168" s="7">
        <f t="shared" si="54"/>
        <v>136.57022571913697</v>
      </c>
      <c r="Q168" s="7"/>
      <c r="R168" s="7">
        <f t="shared" si="55"/>
        <v>-0.60307910240847873</v>
      </c>
      <c r="S168" s="7">
        <f t="shared" si="56"/>
        <v>7.2382219631142597</v>
      </c>
      <c r="T168" s="7">
        <f t="shared" si="57"/>
        <v>7.2382219631142597</v>
      </c>
      <c r="U168" s="7">
        <f t="shared" si="58"/>
        <v>0.88279999289999811</v>
      </c>
      <c r="V168" s="7">
        <f t="shared" si="59"/>
        <v>0.88279999289999811</v>
      </c>
      <c r="W168" s="7">
        <f t="shared" si="60"/>
        <v>7.5903840324600091</v>
      </c>
      <c r="X168" s="7">
        <f t="shared" si="61"/>
        <v>7.6415486380502813</v>
      </c>
      <c r="Y168" s="7">
        <f t="shared" si="62"/>
        <v>-0.34432070119664931</v>
      </c>
    </row>
    <row r="169" ht="14.25">
      <c r="A169">
        <v>-9</v>
      </c>
      <c r="B169">
        <f t="shared" si="44"/>
        <v>-2.7000000000000002</v>
      </c>
      <c r="E169">
        <f t="shared" si="45"/>
        <v>-0.1431</v>
      </c>
      <c r="F169">
        <f t="shared" si="46"/>
        <v>-0.1431</v>
      </c>
      <c r="G169">
        <f t="shared" si="47"/>
        <v>2.2860045224441188</v>
      </c>
      <c r="H169">
        <f t="shared" si="48"/>
        <v>2.2860045224441188</v>
      </c>
      <c r="I169">
        <f t="shared" si="49"/>
        <v>-0.34396086789991698</v>
      </c>
      <c r="J169">
        <f t="shared" si="50"/>
        <v>2.3117365237590177</v>
      </c>
      <c r="K169" s="6">
        <f t="shared" si="51"/>
        <v>0.179676</v>
      </c>
      <c r="N169" s="6">
        <f t="shared" si="52"/>
        <v>-16.199999999999999</v>
      </c>
      <c r="O169" s="6">
        <f t="shared" si="53"/>
        <v>-39.337745951531325</v>
      </c>
      <c r="P169" s="7">
        <f t="shared" si="54"/>
        <v>135.40140968044898</v>
      </c>
      <c r="Q169" s="7"/>
      <c r="R169" s="7">
        <f t="shared" si="55"/>
        <v>-0.82952011105667878</v>
      </c>
      <c r="S169" s="7">
        <f t="shared" si="56"/>
        <v>7.1762747130637958</v>
      </c>
      <c r="T169" s="7">
        <f t="shared" si="57"/>
        <v>7.1762747130637958</v>
      </c>
      <c r="U169" s="7">
        <f t="shared" si="58"/>
        <v>0.64364230820471158</v>
      </c>
      <c r="V169" s="7">
        <f t="shared" si="59"/>
        <v>0.64364230820471158</v>
      </c>
      <c r="W169" s="7">
        <f t="shared" si="60"/>
        <v>7.5713454027163474</v>
      </c>
      <c r="X169" s="7">
        <f t="shared" si="61"/>
        <v>7.5986542642855559</v>
      </c>
      <c r="Y169" s="7">
        <f t="shared" si="62"/>
        <v>-0.38599803109671421</v>
      </c>
    </row>
    <row r="170" ht="14.25">
      <c r="A170">
        <v>-10</v>
      </c>
      <c r="B170">
        <f t="shared" si="44"/>
        <v>-3</v>
      </c>
      <c r="E170">
        <f t="shared" si="45"/>
        <v>-0.159</v>
      </c>
      <c r="F170">
        <f t="shared" si="46"/>
        <v>-0.159</v>
      </c>
      <c r="G170">
        <f t="shared" si="47"/>
        <v>2.2827405333407449</v>
      </c>
      <c r="H170">
        <f t="shared" si="48"/>
        <v>2.2827405333407449</v>
      </c>
      <c r="I170">
        <f t="shared" si="49"/>
        <v>-0.359860867899917</v>
      </c>
      <c r="J170">
        <f t="shared" si="50"/>
        <v>2.3109314543712607</v>
      </c>
      <c r="K170" s="6">
        <f t="shared" si="51"/>
        <v>0.17963999999999999</v>
      </c>
      <c r="N170" s="6">
        <f t="shared" si="52"/>
        <v>-18</v>
      </c>
      <c r="O170" s="6">
        <f t="shared" si="53"/>
        <v>-43.571396206867583</v>
      </c>
      <c r="P170" s="7">
        <f t="shared" si="54"/>
        <v>134.09896879761664</v>
      </c>
      <c r="Q170" s="7"/>
      <c r="R170" s="7">
        <f t="shared" si="55"/>
        <v>-1.0539035745895007</v>
      </c>
      <c r="S170" s="7">
        <f t="shared" si="56"/>
        <v>7.1072453462736815</v>
      </c>
      <c r="T170" s="7">
        <f t="shared" si="57"/>
        <v>7.1072453462736815</v>
      </c>
      <c r="U170" s="7">
        <f t="shared" si="58"/>
        <v>0.40508833517404574</v>
      </c>
      <c r="V170" s="7">
        <f t="shared" si="59"/>
        <v>0.40508833517404574</v>
      </c>
      <c r="W170" s="7">
        <f t="shared" si="60"/>
        <v>7.5448347691598103</v>
      </c>
      <c r="X170" s="7">
        <f t="shared" si="61"/>
        <v>7.5557017048859763</v>
      </c>
      <c r="Y170" s="7">
        <f t="shared" si="62"/>
        <v>-0.4271998416642882</v>
      </c>
    </row>
    <row r="171" ht="14.25">
      <c r="A171">
        <v>-11</v>
      </c>
      <c r="B171">
        <f t="shared" si="44"/>
        <v>-3.2999999999999998</v>
      </c>
      <c r="E171">
        <f t="shared" si="45"/>
        <v>-0.17489999999999997</v>
      </c>
      <c r="F171">
        <f t="shared" si="46"/>
        <v>-0.17489999999999997</v>
      </c>
      <c r="G171">
        <f t="shared" si="47"/>
        <v>2.2794765442373714</v>
      </c>
      <c r="H171">
        <f t="shared" si="48"/>
        <v>2.2794765442373714</v>
      </c>
      <c r="I171">
        <f t="shared" si="49"/>
        <v>-0.37576086789991697</v>
      </c>
      <c r="J171">
        <f t="shared" si="50"/>
        <v>2.3102401488964839</v>
      </c>
      <c r="K171" s="6">
        <f t="shared" si="51"/>
        <v>0.17960399999999999</v>
      </c>
      <c r="N171" s="6">
        <f t="shared" si="52"/>
        <v>-19.800000000000001</v>
      </c>
      <c r="O171" s="6">
        <f t="shared" si="53"/>
        <v>-47.762046754586081</v>
      </c>
      <c r="P171" s="7">
        <f t="shared" si="54"/>
        <v>132.66418842254578</v>
      </c>
      <c r="Q171" s="7"/>
      <c r="R171" s="7">
        <f t="shared" si="55"/>
        <v>-1.2760080536185809</v>
      </c>
      <c r="S171" s="7">
        <f t="shared" si="56"/>
        <v>7.031201986394926</v>
      </c>
      <c r="T171" s="7">
        <f t="shared" si="57"/>
        <v>7.031201986394926</v>
      </c>
      <c r="U171" s="7">
        <f t="shared" si="58"/>
        <v>0.16737349777841337</v>
      </c>
      <c r="V171" s="7">
        <f t="shared" si="59"/>
        <v>0.16737349777841337</v>
      </c>
      <c r="W171" s="7">
        <f t="shared" si="60"/>
        <v>7.510878294585055</v>
      </c>
      <c r="X171" s="7">
        <f t="shared" si="61"/>
        <v>7.5127429507356025</v>
      </c>
      <c r="Y171" s="7">
        <f t="shared" si="62"/>
        <v>-0.46787629981185574</v>
      </c>
    </row>
    <row r="172" ht="14.25">
      <c r="A172">
        <v>-12</v>
      </c>
      <c r="B172">
        <f t="shared" si="44"/>
        <v>-3.6000000000000001</v>
      </c>
      <c r="E172">
        <f t="shared" si="45"/>
        <v>-0.1908</v>
      </c>
      <c r="F172">
        <f t="shared" si="46"/>
        <v>-0.1908</v>
      </c>
      <c r="G172">
        <f t="shared" si="47"/>
        <v>2.2762125551339976</v>
      </c>
      <c r="H172">
        <f t="shared" si="48"/>
        <v>2.2762125551339976</v>
      </c>
      <c r="I172">
        <f t="shared" si="49"/>
        <v>-0.391660867899917</v>
      </c>
      <c r="J172">
        <f t="shared" si="50"/>
        <v>2.3096627094867679</v>
      </c>
      <c r="K172" s="6">
        <f t="shared" si="51"/>
        <v>0.17956800000000001</v>
      </c>
      <c r="N172" s="6">
        <f t="shared" si="52"/>
        <v>-21.600000000000001</v>
      </c>
      <c r="O172" s="6">
        <f t="shared" si="53"/>
        <v>-51.905561928539598</v>
      </c>
      <c r="P172" s="7">
        <f t="shared" si="54"/>
        <v>131.09848451024345</v>
      </c>
      <c r="Q172" s="7"/>
      <c r="R172" s="7">
        <f t="shared" si="55"/>
        <v>-1.4956143578381174</v>
      </c>
      <c r="S172" s="7">
        <f t="shared" si="56"/>
        <v>6.9482196790429027</v>
      </c>
      <c r="T172" s="7">
        <f t="shared" si="57"/>
        <v>6.9482196790429027</v>
      </c>
      <c r="U172" s="7">
        <f t="shared" si="58"/>
        <v>-0.069267608137337344</v>
      </c>
      <c r="V172" s="7">
        <f t="shared" si="59"/>
        <v>-0.069267608137337344</v>
      </c>
      <c r="W172" s="7">
        <f t="shared" si="60"/>
        <v>7.4695094899328707</v>
      </c>
      <c r="X172" s="7">
        <f t="shared" si="61"/>
        <v>7.4698306554924176</v>
      </c>
      <c r="Y172" s="7">
        <f t="shared" si="62"/>
        <v>-0.50797850039576109</v>
      </c>
    </row>
    <row r="173" ht="14.25">
      <c r="A173">
        <v>-13</v>
      </c>
      <c r="B173">
        <f t="shared" si="44"/>
        <v>-3.8999999999999999</v>
      </c>
      <c r="E173">
        <f t="shared" si="45"/>
        <v>-0.20669999999999999</v>
      </c>
      <c r="F173">
        <f t="shared" si="46"/>
        <v>-0.20669999999999999</v>
      </c>
      <c r="G173">
        <f t="shared" si="47"/>
        <v>2.2729485660306241</v>
      </c>
      <c r="H173">
        <f t="shared" si="48"/>
        <v>2.2729485660306241</v>
      </c>
      <c r="I173">
        <f t="shared" si="49"/>
        <v>-0.40756086789991697</v>
      </c>
      <c r="J173">
        <f t="shared" si="50"/>
        <v>2.3091992215623156</v>
      </c>
      <c r="K173" s="6">
        <f t="shared" si="51"/>
        <v>0.179532</v>
      </c>
      <c r="N173" s="6">
        <f t="shared" si="52"/>
        <v>-23.399999999999999</v>
      </c>
      <c r="O173" s="6">
        <f t="shared" si="53"/>
        <v>-55.99785257950407</v>
      </c>
      <c r="P173" s="7">
        <f t="shared" si="54"/>
        <v>129.40340222144135</v>
      </c>
      <c r="Q173" s="7"/>
      <c r="R173" s="7">
        <f t="shared" si="55"/>
        <v>-1.7125057623392343</v>
      </c>
      <c r="S173" s="7">
        <f t="shared" si="56"/>
        <v>6.8583803177363913</v>
      </c>
      <c r="T173" s="7">
        <f t="shared" si="57"/>
        <v>6.8583803177363913</v>
      </c>
      <c r="U173" s="7">
        <f t="shared" si="58"/>
        <v>-0.30460144637169351</v>
      </c>
      <c r="V173" s="7">
        <f t="shared" si="59"/>
        <v>-0.30460144637169351</v>
      </c>
      <c r="W173" s="7">
        <f t="shared" si="60"/>
        <v>7.4207691812189314</v>
      </c>
      <c r="X173" s="7">
        <f t="shared" si="61"/>
        <v>7.4270180612450654</v>
      </c>
      <c r="Y173" s="7">
        <f t="shared" si="62"/>
        <v>-0.5474585490608318</v>
      </c>
    </row>
    <row r="174" ht="14.25">
      <c r="A174">
        <v>-14</v>
      </c>
      <c r="B174">
        <f t="shared" si="44"/>
        <v>-4.2000000000000002</v>
      </c>
      <c r="E174">
        <f t="shared" si="45"/>
        <v>-0.22259999999999999</v>
      </c>
      <c r="F174">
        <f t="shared" si="46"/>
        <v>-0.22259999999999999</v>
      </c>
      <c r="G174">
        <f t="shared" si="47"/>
        <v>2.2696845769272502</v>
      </c>
      <c r="H174">
        <f t="shared" si="48"/>
        <v>2.2696845769272502</v>
      </c>
      <c r="I174">
        <f t="shared" si="49"/>
        <v>-0.42346086789991699</v>
      </c>
      <c r="J174">
        <f t="shared" si="50"/>
        <v>2.3088497537483859</v>
      </c>
      <c r="K174" s="6">
        <f t="shared" si="51"/>
        <v>0.17949599999999999</v>
      </c>
      <c r="N174" s="6">
        <f t="shared" si="52"/>
        <v>-25.199999999999999</v>
      </c>
      <c r="O174" s="6">
        <f t="shared" si="53"/>
        <v>-60.034880110675239</v>
      </c>
      <c r="P174" s="7">
        <f t="shared" si="54"/>
        <v>127.58061439770876</v>
      </c>
      <c r="Q174" s="7"/>
      <c r="R174" s="7">
        <f t="shared" si="55"/>
        <v>-1.9264682214913063</v>
      </c>
      <c r="S174" s="7">
        <f t="shared" si="56"/>
        <v>6.7617725630785639</v>
      </c>
      <c r="T174" s="7">
        <f t="shared" si="57"/>
        <v>6.7617725630785639</v>
      </c>
      <c r="U174" s="7">
        <f t="shared" si="58"/>
        <v>-0.53839577083851653</v>
      </c>
      <c r="V174" s="7">
        <f t="shared" si="59"/>
        <v>-0.53839577083851653</v>
      </c>
      <c r="W174" s="7">
        <f t="shared" si="60"/>
        <v>7.3647054692434484</v>
      </c>
      <c r="X174" s="7">
        <f t="shared" si="61"/>
        <v>7.3843589196870134</v>
      </c>
      <c r="Y174" s="7">
        <f t="shared" si="62"/>
        <v>-0.58626964233495349</v>
      </c>
    </row>
    <row r="175" ht="14.25">
      <c r="A175">
        <v>-15</v>
      </c>
      <c r="B175">
        <f t="shared" si="44"/>
        <v>-4.5</v>
      </c>
      <c r="E175">
        <f t="shared" si="45"/>
        <v>-0.23849999999999999</v>
      </c>
      <c r="F175">
        <f t="shared" si="46"/>
        <v>-0.23849999999999999</v>
      </c>
      <c r="G175">
        <f t="shared" si="47"/>
        <v>2.2664205878238768</v>
      </c>
      <c r="H175">
        <f t="shared" si="48"/>
        <v>2.2664205878238768</v>
      </c>
      <c r="I175">
        <f t="shared" si="49"/>
        <v>-0.43936086789991702</v>
      </c>
      <c r="J175">
        <f t="shared" si="50"/>
        <v>2.3086143578245579</v>
      </c>
      <c r="K175" s="6">
        <f t="shared" si="51"/>
        <v>0.17946000000000001</v>
      </c>
      <c r="N175" s="6">
        <f t="shared" si="52"/>
        <v>-27</v>
      </c>
      <c r="O175" s="6">
        <f t="shared" si="53"/>
        <v>-64.012660463276092</v>
      </c>
      <c r="P175" s="7">
        <f t="shared" si="54"/>
        <v>125.63191991055987</v>
      </c>
      <c r="Q175" s="7"/>
      <c r="R175" s="7">
        <f t="shared" si="55"/>
        <v>-2.1372905801791511</v>
      </c>
      <c r="S175" s="7">
        <f t="shared" si="56"/>
        <v>6.6584917552596732</v>
      </c>
      <c r="T175" s="7">
        <f t="shared" si="57"/>
        <v>6.6584917552596732</v>
      </c>
      <c r="U175" s="7">
        <f t="shared" si="58"/>
        <v>-0.77041985476588892</v>
      </c>
      <c r="V175" s="7">
        <f t="shared" si="59"/>
        <v>-0.77041985476588892</v>
      </c>
      <c r="W175" s="7">
        <f t="shared" si="60"/>
        <v>7.3013736821214898</v>
      </c>
      <c r="X175" s="7">
        <f t="shared" si="61"/>
        <v>7.3419074087456195</v>
      </c>
      <c r="Y175" s="7">
        <f t="shared" si="62"/>
        <v>-0.62436614476498975</v>
      </c>
    </row>
    <row r="176" ht="14.25">
      <c r="A176">
        <v>-16</v>
      </c>
      <c r="B176">
        <f t="shared" si="44"/>
        <v>-4.7999999999999998</v>
      </c>
      <c r="E176">
        <f t="shared" si="45"/>
        <v>-0.25439999999999996</v>
      </c>
      <c r="F176">
        <f t="shared" si="46"/>
        <v>-0.25439999999999996</v>
      </c>
      <c r="G176">
        <f t="shared" si="47"/>
        <v>2.2631565987205033</v>
      </c>
      <c r="H176">
        <f t="shared" si="48"/>
        <v>2.2631565987205033</v>
      </c>
      <c r="I176">
        <f t="shared" si="49"/>
        <v>-0.45526086789991693</v>
      </c>
      <c r="J176">
        <f t="shared" si="50"/>
        <v>2.3084930686863983</v>
      </c>
      <c r="K176" s="6">
        <f t="shared" si="51"/>
        <v>0.179424</v>
      </c>
      <c r="N176" s="6">
        <f t="shared" si="52"/>
        <v>-28.800000000000001</v>
      </c>
      <c r="O176" s="6">
        <f t="shared" si="53"/>
        <v>-67.927268048341858</v>
      </c>
      <c r="P176" s="7">
        <f t="shared" si="54"/>
        <v>123.55924188618476</v>
      </c>
      <c r="Q176" s="7"/>
      <c r="R176" s="7">
        <f t="shared" si="55"/>
        <v>-2.344764782187637</v>
      </c>
      <c r="S176" s="7">
        <f t="shared" si="56"/>
        <v>6.548639819967792</v>
      </c>
      <c r="T176" s="7">
        <f t="shared" si="57"/>
        <v>6.548639819967792</v>
      </c>
      <c r="U176" s="7">
        <f t="shared" si="58"/>
        <v>-1.0004447183955827</v>
      </c>
      <c r="V176" s="7">
        <f t="shared" si="59"/>
        <v>-1.0004447183955827</v>
      </c>
      <c r="W176" s="7">
        <f t="shared" si="60"/>
        <v>7.2308363206808046</v>
      </c>
      <c r="X176" s="7">
        <f t="shared" si="61"/>
        <v>7.2997180446262666</v>
      </c>
      <c r="Y176" s="7">
        <f t="shared" si="62"/>
        <v>-0.66170366289579341</v>
      </c>
    </row>
    <row r="177" ht="14.25">
      <c r="A177">
        <v>-17</v>
      </c>
      <c r="B177">
        <f t="shared" si="44"/>
        <v>-5.0999999999999996</v>
      </c>
      <c r="E177">
        <f t="shared" si="45"/>
        <v>-0.27029999999999998</v>
      </c>
      <c r="F177">
        <f t="shared" si="46"/>
        <v>-0.27029999999999998</v>
      </c>
      <c r="G177">
        <f t="shared" si="47"/>
        <v>2.2598926096171295</v>
      </c>
      <c r="H177">
        <f t="shared" si="48"/>
        <v>2.2598926096171295</v>
      </c>
      <c r="I177">
        <f t="shared" si="49"/>
        <v>-0.47116086789991696</v>
      </c>
      <c r="J177">
        <f t="shared" si="50"/>
        <v>2.3084859043196091</v>
      </c>
      <c r="K177" s="6">
        <f t="shared" si="51"/>
        <v>0.17938799999999999</v>
      </c>
      <c r="N177" s="6">
        <f t="shared" si="52"/>
        <v>-30.600000000000001</v>
      </c>
      <c r="O177" s="6">
        <f t="shared" si="53"/>
        <v>-71.774839620802354</v>
      </c>
      <c r="P177" s="7">
        <f t="shared" si="54"/>
        <v>121.36462580755605</v>
      </c>
      <c r="Q177" s="7"/>
      <c r="R177" s="7">
        <f t="shared" si="55"/>
        <v>-2.5486860755280434</v>
      </c>
      <c r="S177" s="7">
        <f t="shared" si="56"/>
        <v>6.4323251678004709</v>
      </c>
      <c r="T177" s="7">
        <f t="shared" si="57"/>
        <v>6.4323251678004709</v>
      </c>
      <c r="U177" s="7">
        <f t="shared" si="58"/>
        <v>-1.2282433549584315</v>
      </c>
      <c r="V177" s="7">
        <f t="shared" si="59"/>
        <v>-1.2282433549584315</v>
      </c>
      <c r="W177" s="7">
        <f t="shared" si="60"/>
        <v>7.1531629967810568</v>
      </c>
      <c r="X177" s="7">
        <f t="shared" si="61"/>
        <v>7.2578455892583786</v>
      </c>
      <c r="Y177" s="7">
        <f t="shared" si="62"/>
        <v>-0.69823911590507726</v>
      </c>
    </row>
    <row r="178" ht="14.25">
      <c r="A178">
        <v>-18</v>
      </c>
      <c r="B178">
        <f t="shared" si="44"/>
        <v>-5.4000000000000004</v>
      </c>
      <c r="E178">
        <f t="shared" si="45"/>
        <v>-0.28620000000000001</v>
      </c>
      <c r="F178">
        <f t="shared" si="46"/>
        <v>-0.28620000000000001</v>
      </c>
      <c r="G178">
        <f t="shared" si="47"/>
        <v>2.256628620513756</v>
      </c>
      <c r="H178">
        <f t="shared" si="48"/>
        <v>2.256628620513756</v>
      </c>
      <c r="I178">
        <f t="shared" si="49"/>
        <v>-0.48706086789991698</v>
      </c>
      <c r="J178">
        <f t="shared" si="50"/>
        <v>2.3085928657866979</v>
      </c>
      <c r="K178" s="6">
        <f t="shared" si="51"/>
        <v>0.17935199999999998</v>
      </c>
      <c r="N178" s="6">
        <f t="shared" si="52"/>
        <v>-32.399999999999999</v>
      </c>
      <c r="O178" s="6">
        <f t="shared" si="53"/>
        <v>-75.551578092038525</v>
      </c>
      <c r="P178" s="7">
        <f t="shared" si="54"/>
        <v>119.05023749578413</v>
      </c>
      <c r="Q178" s="7"/>
      <c r="R178" s="7">
        <f t="shared" si="55"/>
        <v>-2.7488532145035602</v>
      </c>
      <c r="S178" s="7">
        <f t="shared" si="56"/>
        <v>6.3096625872765584</v>
      </c>
      <c r="T178" s="7">
        <f t="shared" si="57"/>
        <v>6.3096625872765584</v>
      </c>
      <c r="U178" s="7">
        <f t="shared" si="58"/>
        <v>-1.4535909547026113</v>
      </c>
      <c r="V178" s="7">
        <f t="shared" si="59"/>
        <v>-1.4535909547026113</v>
      </c>
      <c r="W178" s="7">
        <f t="shared" si="60"/>
        <v>7.0684303646153186</v>
      </c>
      <c r="X178" s="7">
        <f t="shared" si="61"/>
        <v>7.2163449531607826</v>
      </c>
      <c r="Y178" s="7">
        <f t="shared" si="62"/>
        <v>-0.73393080271857747</v>
      </c>
    </row>
    <row r="179" ht="14.25">
      <c r="A179">
        <v>-19</v>
      </c>
      <c r="B179">
        <f t="shared" si="44"/>
        <v>-5.7000000000000002</v>
      </c>
      <c r="E179">
        <f t="shared" si="45"/>
        <v>-0.30209999999999998</v>
      </c>
      <c r="F179">
        <f t="shared" si="46"/>
        <v>-0.30209999999999998</v>
      </c>
      <c r="G179">
        <f t="shared" si="47"/>
        <v>2.2533646314103821</v>
      </c>
      <c r="H179">
        <f t="shared" si="48"/>
        <v>2.2533646314103821</v>
      </c>
      <c r="I179">
        <f t="shared" si="49"/>
        <v>-0.50296086789991701</v>
      </c>
      <c r="J179">
        <f t="shared" si="50"/>
        <v>2.3088139372261867</v>
      </c>
      <c r="K179" s="6">
        <f t="shared" si="51"/>
        <v>0.179316</v>
      </c>
      <c r="N179" s="6">
        <f t="shared" si="52"/>
        <v>-34.200000000000003</v>
      </c>
      <c r="O179" s="6">
        <f t="shared" si="53"/>
        <v>-79.253756277150416</v>
      </c>
      <c r="P179" s="7">
        <f t="shared" si="54"/>
        <v>116.61836097271322</v>
      </c>
      <c r="Q179" s="7"/>
      <c r="R179" s="7">
        <f t="shared" si="55"/>
        <v>-2.9450686583144909</v>
      </c>
      <c r="S179" s="7">
        <f t="shared" si="56"/>
        <v>6.1807731315538001</v>
      </c>
      <c r="T179" s="7">
        <f t="shared" si="57"/>
        <v>6.1807731315538001</v>
      </c>
      <c r="U179" s="7">
        <f t="shared" si="58"/>
        <v>-1.676265126753721</v>
      </c>
      <c r="V179" s="7">
        <f t="shared" si="59"/>
        <v>-1.676265126753721</v>
      </c>
      <c r="W179" s="7">
        <f t="shared" si="60"/>
        <v>6.9767220450616465</v>
      </c>
      <c r="X179" s="7">
        <f t="shared" si="61"/>
        <v>7.1752710937789539</v>
      </c>
      <c r="Y179" s="7">
        <f t="shared" si="62"/>
        <v>-0.76873846544218671</v>
      </c>
    </row>
    <row r="180" ht="14.25">
      <c r="A180">
        <v>-20</v>
      </c>
      <c r="B180">
        <f t="shared" si="44"/>
        <v>-6</v>
      </c>
      <c r="E180">
        <f t="shared" si="45"/>
        <v>-0.318</v>
      </c>
      <c r="F180">
        <f t="shared" si="46"/>
        <v>-0.318</v>
      </c>
      <c r="G180">
        <f t="shared" si="47"/>
        <v>2.2501006423070087</v>
      </c>
      <c r="H180">
        <f t="shared" si="48"/>
        <v>2.2501006423070087</v>
      </c>
      <c r="I180">
        <f t="shared" si="49"/>
        <v>-0.51886086789991703</v>
      </c>
      <c r="J180">
        <f t="shared" si="50"/>
        <v>2.3091490858643726</v>
      </c>
      <c r="K180" s="6">
        <f t="shared" si="51"/>
        <v>0.17927999999999999</v>
      </c>
      <c r="N180" s="6">
        <f t="shared" si="52"/>
        <v>-36</v>
      </c>
      <c r="O180" s="6">
        <f t="shared" si="53"/>
        <v>-82.877720573238719</v>
      </c>
      <c r="P180" s="7">
        <f t="shared" si="54"/>
        <v>114.07139620686759</v>
      </c>
      <c r="Q180" s="7"/>
      <c r="R180" s="7">
        <f t="shared" si="55"/>
        <v>-3.1371387660071708</v>
      </c>
      <c r="S180" s="7">
        <f t="shared" si="56"/>
        <v>6.0457839989639819</v>
      </c>
      <c r="T180" s="7">
        <f t="shared" si="57"/>
        <v>6.0457839989639819</v>
      </c>
      <c r="U180" s="7">
        <f t="shared" si="58"/>
        <v>-1.8960461185877233</v>
      </c>
      <c r="V180" s="7">
        <f t="shared" si="59"/>
        <v>-1.8960461185877233</v>
      </c>
      <c r="W180" s="7">
        <f t="shared" si="60"/>
        <v>6.8781285431593586</v>
      </c>
      <c r="X180" s="7">
        <f t="shared" si="61"/>
        <v>7.1346789093858352</v>
      </c>
      <c r="Y180" s="7">
        <f t="shared" si="62"/>
        <v>-0.80262334896054022</v>
      </c>
    </row>
    <row r="181" ht="14.25">
      <c r="A181">
        <v>-21</v>
      </c>
      <c r="B181">
        <f t="shared" si="44"/>
        <v>-6.2999999999999998</v>
      </c>
      <c r="E181">
        <f t="shared" si="45"/>
        <v>-0.33389999999999997</v>
      </c>
      <c r="F181">
        <f t="shared" si="46"/>
        <v>-0.33389999999999997</v>
      </c>
      <c r="G181">
        <f t="shared" si="47"/>
        <v>2.2468366532036348</v>
      </c>
      <c r="H181">
        <f t="shared" si="48"/>
        <v>2.2468366532036348</v>
      </c>
      <c r="I181">
        <f t="shared" si="49"/>
        <v>-0.53476086789991695</v>
      </c>
      <c r="J181">
        <f t="shared" si="50"/>
        <v>2.3095982620396094</v>
      </c>
      <c r="K181" s="6">
        <f t="shared" si="51"/>
        <v>0.17924399999999999</v>
      </c>
      <c r="N181" s="6">
        <f t="shared" si="52"/>
        <v>-37.799999999999997</v>
      </c>
      <c r="O181" s="6">
        <f t="shared" si="53"/>
        <v>-86.419894565069669</v>
      </c>
      <c r="P181" s="7">
        <f t="shared" si="54"/>
        <v>111.41185674497235</v>
      </c>
      <c r="Q181" s="7"/>
      <c r="R181" s="7">
        <f t="shared" si="55"/>
        <v>-3.324873987574211</v>
      </c>
      <c r="S181" s="7">
        <f t="shared" si="56"/>
        <v>5.9048284074835342</v>
      </c>
      <c r="T181" s="7">
        <f t="shared" si="57"/>
        <v>5.9048284074835342</v>
      </c>
      <c r="U181" s="7">
        <f t="shared" si="58"/>
        <v>-2.1127170329001577</v>
      </c>
      <c r="V181" s="7">
        <f t="shared" si="59"/>
        <v>-2.1127170329001577</v>
      </c>
      <c r="W181" s="7">
        <f t="shared" si="60"/>
        <v>6.7727471587914945</v>
      </c>
      <c r="X181" s="7">
        <f t="shared" si="61"/>
        <v>7.0946231286816568</v>
      </c>
      <c r="Y181" s="7">
        <f t="shared" si="62"/>
        <v>-0.83554825656482201</v>
      </c>
    </row>
    <row r="182" ht="14.25">
      <c r="A182">
        <v>-22</v>
      </c>
      <c r="B182">
        <f t="shared" si="44"/>
        <v>-6.5999999999999996</v>
      </c>
      <c r="E182">
        <f t="shared" si="45"/>
        <v>-0.34979999999999994</v>
      </c>
      <c r="F182">
        <f t="shared" si="46"/>
        <v>-0.34979999999999994</v>
      </c>
      <c r="G182">
        <f t="shared" si="47"/>
        <v>2.2435726641002613</v>
      </c>
      <c r="H182">
        <f t="shared" si="48"/>
        <v>2.2435726641002613</v>
      </c>
      <c r="I182">
        <f t="shared" si="49"/>
        <v>-0.55066086789991697</v>
      </c>
      <c r="J182">
        <f t="shared" si="50"/>
        <v>2.3101613992390737</v>
      </c>
      <c r="K182" s="6">
        <f t="shared" si="51"/>
        <v>0.17920799999999998</v>
      </c>
      <c r="N182" s="6">
        <f t="shared" si="52"/>
        <v>-39.600000000000001</v>
      </c>
      <c r="O182" s="6">
        <f t="shared" si="53"/>
        <v>-89.876782554565239</v>
      </c>
      <c r="P182" s="7">
        <f t="shared" si="54"/>
        <v>108.64236723138629</v>
      </c>
      <c r="Q182" s="7"/>
      <c r="R182" s="7">
        <f t="shared" si="55"/>
        <v>-3.5080890510174765</v>
      </c>
      <c r="S182" s="7">
        <f t="shared" si="56"/>
        <v>5.758045463263473</v>
      </c>
      <c r="T182" s="7">
        <f t="shared" si="57"/>
        <v>5.758045463263473</v>
      </c>
      <c r="U182" s="7">
        <f t="shared" si="58"/>
        <v>-2.3260640416575979</v>
      </c>
      <c r="V182" s="7">
        <f t="shared" si="59"/>
        <v>-2.3260640416575979</v>
      </c>
      <c r="W182" s="7">
        <f t="shared" si="60"/>
        <v>6.6606818906615777</v>
      </c>
      <c r="X182" s="7">
        <f t="shared" si="61"/>
        <v>7.05515819627594</v>
      </c>
      <c r="Y182" s="7">
        <f t="shared" si="62"/>
        <v>-0.86747760148629827</v>
      </c>
    </row>
    <row r="183" ht="14.25">
      <c r="A183">
        <v>-23</v>
      </c>
      <c r="B183">
        <f t="shared" si="44"/>
        <v>-6.9000000000000004</v>
      </c>
      <c r="E183">
        <f t="shared" si="45"/>
        <v>-0.36570000000000003</v>
      </c>
      <c r="F183">
        <f t="shared" si="46"/>
        <v>-0.36570000000000003</v>
      </c>
      <c r="G183">
        <f t="shared" si="47"/>
        <v>2.2403086749968875</v>
      </c>
      <c r="H183">
        <f t="shared" si="48"/>
        <v>2.2403086749968875</v>
      </c>
      <c r="I183">
        <f t="shared" si="49"/>
        <v>-0.566560867899917</v>
      </c>
      <c r="J183">
        <f t="shared" si="50"/>
        <v>2.310838414147951</v>
      </c>
      <c r="K183" s="6">
        <f t="shared" si="51"/>
        <v>0.179172</v>
      </c>
      <c r="N183" s="6">
        <f t="shared" si="52"/>
        <v>-41.399999999999999</v>
      </c>
      <c r="O183" s="6">
        <f t="shared" si="53"/>
        <v>-93.244973010634908</v>
      </c>
      <c r="P183" s="7">
        <f t="shared" si="54"/>
        <v>105.7656608178948</v>
      </c>
      <c r="Q183" s="7"/>
      <c r="R183" s="7">
        <f t="shared" si="55"/>
        <v>-3.686603145189169</v>
      </c>
      <c r="S183" s="7">
        <f t="shared" si="56"/>
        <v>5.6055800233484243</v>
      </c>
      <c r="T183" s="7">
        <f t="shared" si="57"/>
        <v>5.6055800233484243</v>
      </c>
      <c r="U183" s="7">
        <f t="shared" si="58"/>
        <v>-2.5358765971200952</v>
      </c>
      <c r="V183" s="7">
        <f t="shared" si="59"/>
        <v>-2.5358765971200952</v>
      </c>
      <c r="W183" s="7">
        <f t="shared" si="60"/>
        <v>6.5420433336594472</v>
      </c>
      <c r="X183" s="7">
        <f t="shared" si="61"/>
        <v>7.016338154286708</v>
      </c>
      <c r="Y183" s="7">
        <f t="shared" si="62"/>
        <v>-0.89837745422621351</v>
      </c>
    </row>
    <row r="184" ht="14.25">
      <c r="A184">
        <v>-24</v>
      </c>
      <c r="B184">
        <f t="shared" si="44"/>
        <v>-7.2000000000000002</v>
      </c>
      <c r="E184">
        <f t="shared" si="45"/>
        <v>-0.38159999999999999</v>
      </c>
      <c r="F184">
        <f t="shared" si="46"/>
        <v>-0.38159999999999999</v>
      </c>
      <c r="G184">
        <f t="shared" si="47"/>
        <v>2.237044685893514</v>
      </c>
      <c r="H184">
        <f t="shared" si="48"/>
        <v>2.237044685893514</v>
      </c>
      <c r="I184">
        <f t="shared" si="49"/>
        <v>-0.58246086789991702</v>
      </c>
      <c r="J184">
        <f t="shared" si="50"/>
        <v>2.3116292067109585</v>
      </c>
      <c r="K184" s="6">
        <f t="shared" si="51"/>
        <v>0.17913600000000002</v>
      </c>
      <c r="N184" s="6">
        <f t="shared" si="52"/>
        <v>-43.200000000000003</v>
      </c>
      <c r="O184" s="6">
        <f t="shared" si="53"/>
        <v>-96.52114193594511</v>
      </c>
      <c r="P184" s="7">
        <f t="shared" si="54"/>
        <v>102.78457646641903</v>
      </c>
      <c r="Q184" s="7"/>
      <c r="R184" s="7">
        <f t="shared" si="55"/>
        <v>-3.8602400982306095</v>
      </c>
      <c r="S184" s="7">
        <f t="shared" si="56"/>
        <v>5.447582552720208</v>
      </c>
      <c r="T184" s="7">
        <f t="shared" si="57"/>
        <v>5.447582552720208</v>
      </c>
      <c r="U184" s="7">
        <f t="shared" si="58"/>
        <v>-2.7419476396263844</v>
      </c>
      <c r="V184" s="7">
        <f t="shared" si="59"/>
        <v>-2.7419476396263844</v>
      </c>
      <c r="W184" s="7">
        <f t="shared" si="60"/>
        <v>6.4169485697174586</v>
      </c>
      <c r="X184" s="7">
        <f t="shared" si="61"/>
        <v>6.9782165203475621</v>
      </c>
      <c r="Y184" s="7">
        <f t="shared" si="62"/>
        <v>-0.92821558558715345</v>
      </c>
    </row>
    <row r="185" ht="14.25">
      <c r="A185">
        <v>-25</v>
      </c>
      <c r="B185">
        <f t="shared" si="44"/>
        <v>-7.5</v>
      </c>
      <c r="E185">
        <f t="shared" si="45"/>
        <v>-0.39749999999999996</v>
      </c>
      <c r="F185">
        <f t="shared" si="46"/>
        <v>-0.39749999999999996</v>
      </c>
      <c r="G185">
        <f t="shared" si="47"/>
        <v>2.2337806967901401</v>
      </c>
      <c r="H185">
        <f t="shared" si="48"/>
        <v>2.2337806967901401</v>
      </c>
      <c r="I185">
        <f t="shared" si="49"/>
        <v>-0.59836086789991694</v>
      </c>
      <c r="J185">
        <f t="shared" si="50"/>
        <v>2.3125336602060922</v>
      </c>
      <c r="K185" s="6">
        <f t="shared" si="51"/>
        <v>0.17909999999999998</v>
      </c>
      <c r="N185" s="6">
        <f t="shared" si="52"/>
        <v>-45</v>
      </c>
      <c r="O185" s="6">
        <f t="shared" si="53"/>
        <v>-99.702056147303196</v>
      </c>
      <c r="P185" s="7">
        <f t="shared" si="54"/>
        <v>99.70205614730321</v>
      </c>
      <c r="Q185" s="7"/>
      <c r="R185" s="7">
        <f t="shared" si="55"/>
        <v>-4.0288285514325883</v>
      </c>
      <c r="S185" s="7">
        <f t="shared" si="56"/>
        <v>5.2842089758070703</v>
      </c>
      <c r="T185" s="7">
        <f t="shared" si="57"/>
        <v>5.2842089758070703</v>
      </c>
      <c r="U185" s="7">
        <f t="shared" si="58"/>
        <v>-2.9440738019367698</v>
      </c>
      <c r="V185" s="7">
        <f t="shared" si="59"/>
        <v>-2.9440738019367698</v>
      </c>
      <c r="W185" s="7">
        <f t="shared" si="60"/>
        <v>6.2855210522647491</v>
      </c>
      <c r="X185" s="7">
        <f t="shared" si="61"/>
        <v>6.9408461623719759</v>
      </c>
      <c r="Y185" s="7">
        <f t="shared" si="62"/>
        <v>-0.95696150532572866</v>
      </c>
    </row>
    <row r="186" ht="14.25">
      <c r="A186">
        <v>-26</v>
      </c>
      <c r="B186">
        <f t="shared" si="44"/>
        <v>-7.7999999999999998</v>
      </c>
      <c r="E186">
        <f t="shared" si="45"/>
        <v>-0.41339999999999999</v>
      </c>
      <c r="F186">
        <f t="shared" si="46"/>
        <v>-0.41339999999999999</v>
      </c>
      <c r="G186">
        <f t="shared" si="47"/>
        <v>2.2305167076867667</v>
      </c>
      <c r="H186">
        <f t="shared" si="48"/>
        <v>2.2305167076867667</v>
      </c>
      <c r="I186">
        <f t="shared" si="49"/>
        <v>-0.61426086789991696</v>
      </c>
      <c r="J186">
        <f t="shared" si="50"/>
        <v>2.3135516413304833</v>
      </c>
      <c r="K186" s="6">
        <f t="shared" si="51"/>
        <v>0.179064</v>
      </c>
      <c r="N186" s="6">
        <f t="shared" si="52"/>
        <v>-46.799999999999997</v>
      </c>
      <c r="O186" s="6">
        <f t="shared" si="53"/>
        <v>-102.78457646641903</v>
      </c>
      <c r="P186" s="7">
        <f t="shared" si="54"/>
        <v>96.52114193594511</v>
      </c>
      <c r="Q186" s="7"/>
      <c r="R186" s="7">
        <f t="shared" si="55"/>
        <v>-4.1922021283457269</v>
      </c>
      <c r="S186" s="7">
        <f t="shared" si="56"/>
        <v>5.1156205226050906</v>
      </c>
      <c r="T186" s="7">
        <f t="shared" si="57"/>
        <v>5.1156205226050906</v>
      </c>
      <c r="U186" s="7">
        <f t="shared" si="58"/>
        <v>-3.1420556099320391</v>
      </c>
      <c r="V186" s="7">
        <f t="shared" si="59"/>
        <v>-3.1420556099320391</v>
      </c>
      <c r="W186" s="7">
        <f t="shared" si="60"/>
        <v>6.1478904843936064</v>
      </c>
      <c r="X186" s="7">
        <f t="shared" si="61"/>
        <v>6.9042791704857107</v>
      </c>
      <c r="Y186" s="7">
        <f t="shared" si="62"/>
        <v>-0.98458649636141859</v>
      </c>
    </row>
    <row r="187" ht="14.25">
      <c r="A187">
        <v>-27</v>
      </c>
      <c r="B187">
        <f t="shared" si="44"/>
        <v>-8.0999999999999996</v>
      </c>
      <c r="E187">
        <f t="shared" si="45"/>
        <v>-0.42929999999999996</v>
      </c>
      <c r="F187">
        <f t="shared" si="46"/>
        <v>-0.42929999999999996</v>
      </c>
      <c r="G187">
        <f t="shared" si="47"/>
        <v>2.2272527185833928</v>
      </c>
      <c r="H187">
        <f t="shared" si="48"/>
        <v>2.2272527185833928</v>
      </c>
      <c r="I187">
        <f t="shared" si="49"/>
        <v>-0.63016086789991699</v>
      </c>
      <c r="J187">
        <f t="shared" si="50"/>
        <v>2.3146830002982028</v>
      </c>
      <c r="K187" s="6">
        <f t="shared" si="51"/>
        <v>0.17902799999999999</v>
      </c>
      <c r="N187" s="6">
        <f t="shared" si="52"/>
        <v>-48.600000000000001</v>
      </c>
      <c r="O187" s="6">
        <f t="shared" si="53"/>
        <v>-105.7656608178948</v>
      </c>
      <c r="P187" s="7">
        <f t="shared" si="54"/>
        <v>93.244973010634908</v>
      </c>
      <c r="Q187" s="7"/>
      <c r="R187" s="7">
        <f t="shared" si="55"/>
        <v>-4.3501995989739433</v>
      </c>
      <c r="S187" s="7">
        <f t="shared" si="56"/>
        <v>4.94198356956365</v>
      </c>
      <c r="T187" s="7">
        <f t="shared" si="57"/>
        <v>4.94198356956365</v>
      </c>
      <c r="U187" s="7">
        <f t="shared" si="58"/>
        <v>-3.3356976794703348</v>
      </c>
      <c r="V187" s="7">
        <f t="shared" si="59"/>
        <v>-3.3356976794703348</v>
      </c>
      <c r="W187" s="7">
        <f t="shared" si="60"/>
        <v>6.0041926908581793</v>
      </c>
      <c r="X187" s="7">
        <f t="shared" si="61"/>
        <v>6.8685667266015962</v>
      </c>
      <c r="Y187" s="7">
        <f t="shared" si="62"/>
        <v>-1.0110636444915526</v>
      </c>
    </row>
    <row r="188" ht="14.25">
      <c r="A188">
        <v>-28</v>
      </c>
      <c r="B188">
        <f t="shared" si="44"/>
        <v>-8.4000000000000004</v>
      </c>
      <c r="E188">
        <f t="shared" si="45"/>
        <v>-0.44519999999999998</v>
      </c>
      <c r="F188">
        <f t="shared" si="46"/>
        <v>-0.44519999999999998</v>
      </c>
      <c r="G188">
        <f t="shared" si="47"/>
        <v>2.2239887294800194</v>
      </c>
      <c r="H188">
        <f t="shared" si="48"/>
        <v>2.2239887294800194</v>
      </c>
      <c r="I188">
        <f t="shared" si="49"/>
        <v>-0.64606086789991701</v>
      </c>
      <c r="J188">
        <f t="shared" si="50"/>
        <v>2.3159275709498655</v>
      </c>
      <c r="K188" s="6">
        <f t="shared" si="51"/>
        <v>0.17899199999999998</v>
      </c>
      <c r="N188" s="6">
        <f t="shared" si="52"/>
        <v>-50.399999999999999</v>
      </c>
      <c r="O188" s="6">
        <f t="shared" si="53"/>
        <v>-108.64236723138627</v>
      </c>
      <c r="P188" s="7">
        <f t="shared" si="54"/>
        <v>89.876782554565267</v>
      </c>
      <c r="Q188" s="7"/>
      <c r="R188" s="7">
        <f t="shared" si="55"/>
        <v>-4.5026650388889911</v>
      </c>
      <c r="S188" s="7">
        <f t="shared" si="56"/>
        <v>4.7634694753919593</v>
      </c>
      <c r="T188" s="7">
        <f t="shared" si="57"/>
        <v>4.7634694753919593</v>
      </c>
      <c r="U188" s="7">
        <f t="shared" si="58"/>
        <v>-3.5248089092077111</v>
      </c>
      <c r="V188" s="7">
        <f t="shared" si="59"/>
        <v>-3.5248089092077111</v>
      </c>
      <c r="W188" s="7">
        <f t="shared" si="60"/>
        <v>5.8545694840318472</v>
      </c>
      <c r="X188" s="7">
        <f t="shared" si="61"/>
        <v>6.8337589721753416</v>
      </c>
      <c r="Y188" s="7">
        <f t="shared" si="62"/>
        <v>-1.0363678635776876</v>
      </c>
    </row>
    <row r="189" ht="14.25">
      <c r="A189">
        <v>-29</v>
      </c>
      <c r="B189">
        <f t="shared" si="44"/>
        <v>-8.6999999999999993</v>
      </c>
      <c r="E189">
        <f t="shared" si="45"/>
        <v>-0.46109999999999995</v>
      </c>
      <c r="F189">
        <f t="shared" si="46"/>
        <v>-0.46109999999999995</v>
      </c>
      <c r="G189">
        <f t="shared" si="47"/>
        <v>2.2207247403766455</v>
      </c>
      <c r="H189">
        <f t="shared" si="48"/>
        <v>2.2207247403766455</v>
      </c>
      <c r="I189">
        <f t="shared" si="49"/>
        <v>-0.66196086789991693</v>
      </c>
      <c r="J189">
        <f t="shared" si="50"/>
        <v>2.3172851708738245</v>
      </c>
      <c r="K189" s="6">
        <f t="shared" si="51"/>
        <v>0.178956</v>
      </c>
      <c r="N189" s="6">
        <f t="shared" si="52"/>
        <v>-52.200000000000003</v>
      </c>
      <c r="O189" s="6">
        <f t="shared" si="53"/>
        <v>-111.41185674497235</v>
      </c>
      <c r="P189" s="7">
        <f t="shared" si="54"/>
        <v>86.419894565069683</v>
      </c>
      <c r="Q189" s="7"/>
      <c r="R189" s="7">
        <f t="shared" si="55"/>
        <v>-4.6494479831090532</v>
      </c>
      <c r="S189" s="7">
        <f t="shared" si="56"/>
        <v>4.580254411948693</v>
      </c>
      <c r="T189" s="7">
        <f t="shared" si="57"/>
        <v>4.580254411948693</v>
      </c>
      <c r="U189" s="7">
        <f t="shared" si="58"/>
        <v>-3.7092026691920958</v>
      </c>
      <c r="V189" s="7">
        <f t="shared" si="59"/>
        <v>-3.7092026691920958</v>
      </c>
      <c r="W189" s="7">
        <f t="shared" si="60"/>
        <v>5.6991685239555112</v>
      </c>
      <c r="X189" s="7">
        <f t="shared" si="61"/>
        <v>6.7999048747454562</v>
      </c>
      <c r="Y189" s="7">
        <f t="shared" si="62"/>
        <v>-1.0604759161839461</v>
      </c>
    </row>
    <row r="190" ht="14.25">
      <c r="A190">
        <v>-30</v>
      </c>
      <c r="B190">
        <f t="shared" si="44"/>
        <v>-9</v>
      </c>
      <c r="E190">
        <f t="shared" si="45"/>
        <v>-0.47699999999999998</v>
      </c>
      <c r="F190">
        <f t="shared" si="46"/>
        <v>-0.47699999999999998</v>
      </c>
      <c r="G190">
        <f t="shared" si="47"/>
        <v>2.217460751273272</v>
      </c>
      <c r="H190">
        <f t="shared" si="48"/>
        <v>2.217460751273272</v>
      </c>
      <c r="I190">
        <f t="shared" si="49"/>
        <v>-0.67786086789991695</v>
      </c>
      <c r="J190">
        <f t="shared" si="50"/>
        <v>2.3187556015387765</v>
      </c>
      <c r="K190" s="6">
        <f t="shared" si="51"/>
        <v>0.17892</v>
      </c>
      <c r="N190" s="6">
        <f t="shared" si="52"/>
        <v>-54</v>
      </c>
      <c r="O190" s="6">
        <f t="shared" si="53"/>
        <v>-114.07139620686759</v>
      </c>
      <c r="P190" s="7">
        <f t="shared" si="54"/>
        <v>82.877720573238719</v>
      </c>
      <c r="Q190" s="7"/>
      <c r="R190" s="7">
        <f t="shared" si="55"/>
        <v>-4.7904035745895008</v>
      </c>
      <c r="S190" s="7">
        <f t="shared" si="56"/>
        <v>4.3925191903816518</v>
      </c>
      <c r="T190" s="7">
        <f t="shared" si="57"/>
        <v>4.3925191903816518</v>
      </c>
      <c r="U190" s="7">
        <f t="shared" si="58"/>
        <v>-3.8886969850445094</v>
      </c>
      <c r="V190" s="7">
        <f t="shared" si="59"/>
        <v>-3.8886969850445094</v>
      </c>
      <c r="W190" s="7">
        <f t="shared" si="60"/>
        <v>5.5381431726149879</v>
      </c>
      <c r="X190" s="7">
        <f t="shared" si="61"/>
        <v>6.7670520939236356</v>
      </c>
      <c r="Y190" s="7">
        <f t="shared" si="62"/>
        <v>-1.0833664296632</v>
      </c>
    </row>
    <row r="191" ht="14.25">
      <c r="A191">
        <v>-31</v>
      </c>
      <c r="B191">
        <f t="shared" si="44"/>
        <v>-9.3000000000000007</v>
      </c>
      <c r="E191">
        <f t="shared" si="45"/>
        <v>-0.4929</v>
      </c>
      <c r="F191">
        <f t="shared" si="46"/>
        <v>-0.4929</v>
      </c>
      <c r="G191">
        <f t="shared" si="47"/>
        <v>2.2141967621698981</v>
      </c>
      <c r="H191">
        <f t="shared" si="48"/>
        <v>2.2141967621698981</v>
      </c>
      <c r="I191">
        <f t="shared" si="49"/>
        <v>-0.69376086789991698</v>
      </c>
      <c r="J191">
        <f t="shared" si="50"/>
        <v>2.3203386484375308</v>
      </c>
      <c r="K191" s="6">
        <f t="shared" si="51"/>
        <v>0.17888399999999999</v>
      </c>
      <c r="N191" s="6">
        <f t="shared" si="52"/>
        <v>-55.799999999999997</v>
      </c>
      <c r="O191" s="6">
        <f t="shared" si="53"/>
        <v>-116.61836097271322</v>
      </c>
      <c r="P191" s="7">
        <f t="shared" si="54"/>
        <v>79.253756277150416</v>
      </c>
      <c r="Q191" s="7"/>
      <c r="R191" s="7">
        <f t="shared" si="55"/>
        <v>-4.9253927071793191</v>
      </c>
      <c r="S191" s="7">
        <f t="shared" si="56"/>
        <v>4.200449082688972</v>
      </c>
      <c r="T191" s="7">
        <f t="shared" si="57"/>
        <v>4.200449082688972</v>
      </c>
      <c r="U191" s="7">
        <f t="shared" si="58"/>
        <v>-4.0631147175458189</v>
      </c>
      <c r="V191" s="7">
        <f t="shared" si="59"/>
        <v>-4.0631147175458189</v>
      </c>
      <c r="W191" s="7">
        <f t="shared" si="60"/>
        <v>5.3716523425912213</v>
      </c>
      <c r="X191" s="7">
        <f t="shared" si="61"/>
        <v>6.735246847562693</v>
      </c>
      <c r="Y191" s="7">
        <f t="shared" si="62"/>
        <v>-1.105019907702252</v>
      </c>
    </row>
    <row r="192" ht="14.25">
      <c r="A192">
        <v>-32</v>
      </c>
      <c r="B192">
        <f t="shared" si="44"/>
        <v>-9.5999999999999996</v>
      </c>
      <c r="E192">
        <f t="shared" si="45"/>
        <v>-0.50879999999999992</v>
      </c>
      <c r="F192">
        <f t="shared" si="46"/>
        <v>-0.50879999999999992</v>
      </c>
      <c r="G192">
        <f t="shared" si="47"/>
        <v>2.2109327730665247</v>
      </c>
      <c r="H192">
        <f t="shared" si="48"/>
        <v>2.2109327730665247</v>
      </c>
      <c r="I192">
        <f t="shared" si="49"/>
        <v>-0.70966086789991689</v>
      </c>
      <c r="J192">
        <f t="shared" si="50"/>
        <v>2.3220340812417239</v>
      </c>
      <c r="K192" s="6">
        <f t="shared" si="51"/>
        <v>0.17884799999999998</v>
      </c>
      <c r="N192" s="6">
        <f t="shared" si="52"/>
        <v>-57.600000000000001</v>
      </c>
      <c r="O192" s="6">
        <f t="shared" si="53"/>
        <v>-119.05023749578413</v>
      </c>
      <c r="P192" s="7">
        <f t="shared" si="54"/>
        <v>75.551578092038511</v>
      </c>
      <c r="Q192" s="7"/>
      <c r="R192" s="7">
        <f t="shared" si="55"/>
        <v>-5.0542821629020773</v>
      </c>
      <c r="S192" s="7">
        <f t="shared" si="56"/>
        <v>4.0042336388780413</v>
      </c>
      <c r="T192" s="7">
        <f t="shared" si="57"/>
        <v>4.0042336388780413</v>
      </c>
      <c r="U192" s="7">
        <f t="shared" si="58"/>
        <v>-4.2322837374517537</v>
      </c>
      <c r="V192" s="7">
        <f t="shared" si="59"/>
        <v>-4.2322837374517537</v>
      </c>
      <c r="W192" s="7">
        <f t="shared" si="60"/>
        <v>5.1998603402327639</v>
      </c>
      <c r="X192" s="7">
        <f t="shared" si="61"/>
        <v>6.7045337788860593</v>
      </c>
      <c r="Y192" s="7">
        <f t="shared" si="62"/>
        <v>-1.1254187373522879</v>
      </c>
    </row>
    <row r="193" ht="14.25">
      <c r="A193">
        <v>-33</v>
      </c>
      <c r="B193">
        <f t="shared" si="44"/>
        <v>-9.9000000000000004</v>
      </c>
      <c r="E193">
        <f t="shared" si="45"/>
        <v>-0.52470000000000006</v>
      </c>
      <c r="F193">
        <f t="shared" si="46"/>
        <v>-0.52470000000000006</v>
      </c>
      <c r="G193">
        <f t="shared" si="47"/>
        <v>2.2076687839631512</v>
      </c>
      <c r="H193">
        <f t="shared" si="48"/>
        <v>2.2076687839631512</v>
      </c>
      <c r="I193">
        <f t="shared" si="49"/>
        <v>-0.72556086789991703</v>
      </c>
      <c r="J193">
        <f t="shared" si="50"/>
        <v>2.323841653967202</v>
      </c>
      <c r="K193" s="6">
        <f t="shared" si="51"/>
        <v>0.178812</v>
      </c>
      <c r="N193" s="6">
        <f t="shared" si="52"/>
        <v>-59.399999999999999</v>
      </c>
      <c r="O193" s="6">
        <f t="shared" si="53"/>
        <v>-121.36462580755605</v>
      </c>
      <c r="P193" s="7">
        <f t="shared" si="54"/>
        <v>71.774839620802339</v>
      </c>
      <c r="Q193" s="7"/>
      <c r="R193" s="7">
        <f t="shared" si="55"/>
        <v>-5.1769447434259899</v>
      </c>
      <c r="S193" s="7">
        <f t="shared" si="56"/>
        <v>3.804066499902524</v>
      </c>
      <c r="T193" s="7">
        <f t="shared" si="57"/>
        <v>3.804066499902524</v>
      </c>
      <c r="U193" s="7">
        <f t="shared" si="58"/>
        <v>-4.3960370953636891</v>
      </c>
      <c r="V193" s="7">
        <f t="shared" si="59"/>
        <v>-4.3960370953636891</v>
      </c>
      <c r="W193" s="7">
        <f t="shared" si="60"/>
        <v>5.022936703505243</v>
      </c>
      <c r="X193" s="7">
        <f t="shared" si="61"/>
        <v>6.6749558254144077</v>
      </c>
      <c r="Y193" s="7">
        <f t="shared" si="62"/>
        <v>-1.1445471915858607</v>
      </c>
    </row>
    <row r="194" ht="14.25">
      <c r="A194">
        <v>-34</v>
      </c>
      <c r="B194">
        <f t="shared" si="44"/>
        <v>-10.199999999999999</v>
      </c>
      <c r="E194">
        <f t="shared" si="45"/>
        <v>-0.54059999999999997</v>
      </c>
      <c r="F194">
        <f t="shared" si="46"/>
        <v>-0.54059999999999997</v>
      </c>
      <c r="G194">
        <f t="shared" si="47"/>
        <v>2.2044047948597774</v>
      </c>
      <c r="H194">
        <f t="shared" si="48"/>
        <v>2.2044047948597774</v>
      </c>
      <c r="I194">
        <f t="shared" si="49"/>
        <v>-0.74146086789991694</v>
      </c>
      <c r="J194">
        <f t="shared" si="50"/>
        <v>2.3257611051498119</v>
      </c>
      <c r="K194" s="6">
        <f t="shared" si="51"/>
        <v>0.17877599999999999</v>
      </c>
      <c r="N194" s="6">
        <f t="shared" si="52"/>
        <v>-61.200000000000003</v>
      </c>
      <c r="O194" s="6">
        <f t="shared" si="53"/>
        <v>-123.55924188618478</v>
      </c>
      <c r="P194" s="7">
        <f t="shared" si="54"/>
        <v>67.927268048341844</v>
      </c>
      <c r="Q194" s="7"/>
      <c r="R194" s="7">
        <f t="shared" si="55"/>
        <v>-5.2932593955933118</v>
      </c>
      <c r="S194" s="7">
        <f t="shared" si="56"/>
        <v>3.6001452065621176</v>
      </c>
      <c r="T194" s="7">
        <f t="shared" si="57"/>
        <v>3.6001452065621176</v>
      </c>
      <c r="U194" s="7">
        <f t="shared" si="58"/>
        <v>-4.5542131864875488</v>
      </c>
      <c r="V194" s="7">
        <f t="shared" si="59"/>
        <v>-4.5542131864875488</v>
      </c>
      <c r="W194" s="7">
        <f t="shared" si="60"/>
        <v>4.8410560346778606</v>
      </c>
      <c r="X194" s="7">
        <f t="shared" si="61"/>
        <v>6.646554090569639</v>
      </c>
      <c r="Y194" s="7">
        <f t="shared" si="62"/>
        <v>-1.1623914274363796</v>
      </c>
    </row>
    <row r="195" ht="14.25">
      <c r="A195">
        <v>-35</v>
      </c>
      <c r="B195">
        <f t="shared" si="44"/>
        <v>-10.5</v>
      </c>
      <c r="E195">
        <f t="shared" si="45"/>
        <v>-0.55649999999999999</v>
      </c>
      <c r="F195">
        <f t="shared" si="46"/>
        <v>-0.55649999999999999</v>
      </c>
      <c r="G195">
        <f t="shared" si="47"/>
        <v>2.2011408057564039</v>
      </c>
      <c r="H195">
        <f t="shared" si="48"/>
        <v>2.2011408057564039</v>
      </c>
      <c r="I195">
        <f t="shared" si="49"/>
        <v>-0.75736086789991697</v>
      </c>
      <c r="J195">
        <f t="shared" si="50"/>
        <v>2.3277921580313108</v>
      </c>
      <c r="K195" s="6">
        <f t="shared" si="51"/>
        <v>0.17874000000000001</v>
      </c>
      <c r="N195" s="6">
        <f t="shared" si="52"/>
        <v>-63</v>
      </c>
      <c r="O195" s="6">
        <f t="shared" si="53"/>
        <v>-125.63191991055986</v>
      </c>
      <c r="P195" s="7">
        <f t="shared" si="54"/>
        <v>64.012660463276106</v>
      </c>
      <c r="Q195" s="7"/>
      <c r="R195" s="7">
        <f t="shared" si="55"/>
        <v>-5.4031113308851912</v>
      </c>
      <c r="S195" s="7">
        <f t="shared" si="56"/>
        <v>3.3926710045536335</v>
      </c>
      <c r="T195" s="7">
        <f t="shared" si="57"/>
        <v>3.3926710045536335</v>
      </c>
      <c r="U195" s="7">
        <f t="shared" si="58"/>
        <v>-4.706655910118223</v>
      </c>
      <c r="V195" s="7">
        <f t="shared" si="59"/>
        <v>-4.706655910118223</v>
      </c>
      <c r="W195" s="7">
        <f t="shared" si="60"/>
        <v>4.6543978280120291</v>
      </c>
      <c r="X195" s="7">
        <f t="shared" si="61"/>
        <v>6.6193677188726934</v>
      </c>
      <c r="Y195" s="7">
        <f t="shared" si="62"/>
        <v>-1.1789394797905439</v>
      </c>
    </row>
    <row r="196" ht="14.25">
      <c r="A196">
        <v>-36</v>
      </c>
      <c r="B196">
        <f t="shared" si="44"/>
        <v>-10.800000000000001</v>
      </c>
      <c r="E196">
        <f t="shared" si="45"/>
        <v>-0.57240000000000002</v>
      </c>
      <c r="F196">
        <f t="shared" si="46"/>
        <v>-0.57240000000000002</v>
      </c>
      <c r="G196">
        <f t="shared" si="47"/>
        <v>2.19787681665303</v>
      </c>
      <c r="H196">
        <f t="shared" si="48"/>
        <v>2.19787681665303</v>
      </c>
      <c r="I196">
        <f t="shared" si="49"/>
        <v>-0.77326086789991699</v>
      </c>
      <c r="J196">
        <f t="shared" si="50"/>
        <v>2.329934520755077</v>
      </c>
      <c r="K196" s="6">
        <f t="shared" si="51"/>
        <v>0.17870399999999997</v>
      </c>
      <c r="N196" s="6">
        <f t="shared" si="52"/>
        <v>-64.799999999999997</v>
      </c>
      <c r="O196" s="6">
        <f t="shared" si="53"/>
        <v>-127.58061439770876</v>
      </c>
      <c r="P196" s="7">
        <f t="shared" si="54"/>
        <v>60.034880110675246</v>
      </c>
      <c r="Q196" s="7"/>
      <c r="R196" s="7">
        <f t="shared" si="55"/>
        <v>-5.5063921387040828</v>
      </c>
      <c r="S196" s="7">
        <f t="shared" si="56"/>
        <v>3.181848645865788</v>
      </c>
      <c r="T196" s="7">
        <f t="shared" si="57"/>
        <v>3.181848645865788</v>
      </c>
      <c r="U196" s="7">
        <f t="shared" si="58"/>
        <v>-4.8532148236921246</v>
      </c>
      <c r="V196" s="7">
        <f t="shared" si="59"/>
        <v>-4.8532148236921246</v>
      </c>
      <c r="W196" s="7">
        <f t="shared" si="60"/>
        <v>4.4631462926222092</v>
      </c>
      <c r="X196" s="7">
        <f t="shared" si="61"/>
        <v>6.5934337756780685</v>
      </c>
      <c r="Y196" s="7">
        <f t="shared" si="62"/>
        <v>-1.1941812509182552</v>
      </c>
    </row>
    <row r="197" ht="14.25">
      <c r="A197">
        <v>-37</v>
      </c>
      <c r="B197">
        <f t="shared" si="44"/>
        <v>-11.1</v>
      </c>
      <c r="E197">
        <f t="shared" si="45"/>
        <v>-0.58829999999999993</v>
      </c>
      <c r="F197">
        <f t="shared" si="46"/>
        <v>-0.58829999999999993</v>
      </c>
      <c r="G197">
        <f t="shared" si="47"/>
        <v>2.1946128275496566</v>
      </c>
      <c r="H197">
        <f t="shared" si="48"/>
        <v>2.1946128275496566</v>
      </c>
      <c r="I197">
        <f t="shared" si="49"/>
        <v>-0.78916086789991691</v>
      </c>
      <c r="J197">
        <f t="shared" si="50"/>
        <v>2.3321878865713304</v>
      </c>
      <c r="K197" s="6">
        <f t="shared" si="51"/>
        <v>0.17866799999999999</v>
      </c>
      <c r="N197" s="6">
        <f t="shared" si="52"/>
        <v>-66.599999999999994</v>
      </c>
      <c r="O197" s="6">
        <f t="shared" si="53"/>
        <v>-129.40340222144135</v>
      </c>
      <c r="P197" s="7">
        <f t="shared" si="54"/>
        <v>55.997852579504062</v>
      </c>
      <c r="Q197" s="7"/>
      <c r="R197" s="7">
        <f t="shared" si="55"/>
        <v>-5.6029998933619103</v>
      </c>
      <c r="S197" s="7">
        <f t="shared" si="56"/>
        <v>2.9678861867137152</v>
      </c>
      <c r="T197" s="7">
        <f t="shared" si="57"/>
        <v>2.9678861867137152</v>
      </c>
      <c r="U197" s="7">
        <f t="shared" si="58"/>
        <v>-4.9937452912558253</v>
      </c>
      <c r="V197" s="7">
        <f t="shared" si="59"/>
        <v>-4.9937452912558253</v>
      </c>
      <c r="W197" s="7">
        <f t="shared" si="60"/>
        <v>4.2674901706837529</v>
      </c>
      <c r="X197" s="7">
        <f t="shared" si="61"/>
        <v>6.5687871324029192</v>
      </c>
      <c r="Y197" s="7">
        <f t="shared" si="62"/>
        <v>-1.2081084958382675</v>
      </c>
    </row>
    <row r="198" ht="14.25">
      <c r="A198">
        <v>-38</v>
      </c>
      <c r="B198">
        <f t="shared" si="44"/>
        <v>-11.4</v>
      </c>
      <c r="E198">
        <f t="shared" si="45"/>
        <v>-0.60419999999999996</v>
      </c>
      <c r="F198">
        <f t="shared" si="46"/>
        <v>-0.60419999999999996</v>
      </c>
      <c r="G198">
        <f t="shared" si="47"/>
        <v>2.1913488384462827</v>
      </c>
      <c r="H198">
        <f t="shared" si="48"/>
        <v>2.1913488384462827</v>
      </c>
      <c r="I198">
        <f t="shared" si="49"/>
        <v>-0.80506086789991693</v>
      </c>
      <c r="J198">
        <f t="shared" si="50"/>
        <v>2.3345519340515088</v>
      </c>
      <c r="K198" s="6">
        <f t="shared" si="51"/>
        <v>0.17863200000000001</v>
      </c>
      <c r="N198" s="6">
        <f t="shared" si="52"/>
        <v>-68.400000000000006</v>
      </c>
      <c r="O198" s="6">
        <f t="shared" si="53"/>
        <v>-131.09848451024345</v>
      </c>
      <c r="P198" s="7">
        <f t="shared" si="54"/>
        <v>51.905561928539612</v>
      </c>
      <c r="Q198" s="7"/>
      <c r="R198" s="7">
        <f t="shared" si="55"/>
        <v>-5.6928392546684217</v>
      </c>
      <c r="S198" s="7">
        <f t="shared" si="56"/>
        <v>2.7509947822125995</v>
      </c>
      <c r="T198" s="7">
        <f t="shared" si="57"/>
        <v>2.7509947822125995</v>
      </c>
      <c r="U198" s="7">
        <f t="shared" si="58"/>
        <v>-5.1281086262042894</v>
      </c>
      <c r="V198" s="7">
        <f t="shared" si="59"/>
        <v>-5.1281086262042894</v>
      </c>
      <c r="W198" s="7">
        <f t="shared" si="60"/>
        <v>4.0676225511671653</v>
      </c>
      <c r="X198" s="7">
        <f t="shared" si="61"/>
        <v>6.5454603582112183</v>
      </c>
      <c r="Y198" s="7">
        <f t="shared" si="62"/>
        <v>-1.220714803631096</v>
      </c>
    </row>
    <row r="199" ht="14.25">
      <c r="A199">
        <v>-39</v>
      </c>
      <c r="B199">
        <f t="shared" si="44"/>
        <v>-11.699999999999999</v>
      </c>
      <c r="E199">
        <f t="shared" si="45"/>
        <v>-0.62009999999999998</v>
      </c>
      <c r="F199">
        <f t="shared" si="46"/>
        <v>-0.62009999999999998</v>
      </c>
      <c r="G199">
        <f t="shared" si="47"/>
        <v>2.1880848493429093</v>
      </c>
      <c r="H199">
        <f t="shared" si="48"/>
        <v>2.1880848493429093</v>
      </c>
      <c r="I199">
        <f t="shared" si="49"/>
        <v>-0.82096086789991696</v>
      </c>
      <c r="J199">
        <f t="shared" si="50"/>
        <v>2.3370263273114764</v>
      </c>
      <c r="K199" s="6">
        <f t="shared" si="51"/>
        <v>0.178596</v>
      </c>
      <c r="N199" s="6">
        <f t="shared" si="52"/>
        <v>-70.200000000000003</v>
      </c>
      <c r="O199" s="6">
        <f t="shared" si="53"/>
        <v>-132.66418842254578</v>
      </c>
      <c r="P199" s="7">
        <f t="shared" si="54"/>
        <v>47.762046754586102</v>
      </c>
      <c r="Q199" s="7"/>
      <c r="R199" s="7">
        <f t="shared" si="55"/>
        <v>-5.7758215620204449</v>
      </c>
      <c r="S199" s="7">
        <f t="shared" si="56"/>
        <v>2.5313884779930635</v>
      </c>
      <c r="T199" s="7">
        <f t="shared" si="57"/>
        <v>2.5313884779930635</v>
      </c>
      <c r="U199" s="7">
        <f t="shared" si="58"/>
        <v>-5.2561722281478049</v>
      </c>
      <c r="V199" s="7">
        <f t="shared" si="59"/>
        <v>-5.2561722281478049</v>
      </c>
      <c r="W199" s="7">
        <f t="shared" si="60"/>
        <v>3.8637406792825972</v>
      </c>
      <c r="X199" s="7">
        <f t="shared" si="61"/>
        <v>6.5234836191022509</v>
      </c>
      <c r="Y199" s="7">
        <f t="shared" si="62"/>
        <v>-1.231995574823493</v>
      </c>
    </row>
    <row r="200" ht="14.25">
      <c r="A200">
        <v>-40</v>
      </c>
      <c r="B200">
        <f t="shared" si="44"/>
        <v>-12</v>
      </c>
      <c r="E200">
        <f t="shared" si="45"/>
        <v>-0.63600000000000001</v>
      </c>
      <c r="F200">
        <f t="shared" si="46"/>
        <v>-0.63600000000000001</v>
      </c>
      <c r="G200">
        <f t="shared" si="47"/>
        <v>2.1848208602395354</v>
      </c>
      <c r="H200">
        <f t="shared" si="48"/>
        <v>2.1848208602395354</v>
      </c>
      <c r="I200">
        <f t="shared" si="49"/>
        <v>-0.83686086789991698</v>
      </c>
      <c r="J200">
        <f t="shared" si="50"/>
        <v>2.3396107162432012</v>
      </c>
      <c r="K200" s="6">
        <f t="shared" si="51"/>
        <v>0.17856</v>
      </c>
      <c r="N200" s="6">
        <f t="shared" si="52"/>
        <v>-72</v>
      </c>
      <c r="O200" s="6">
        <f t="shared" si="53"/>
        <v>-134.09896879761664</v>
      </c>
      <c r="P200" s="7">
        <f t="shared" si="54"/>
        <v>43.57139620686759</v>
      </c>
      <c r="Q200" s="7"/>
      <c r="R200" s="7">
        <f t="shared" si="55"/>
        <v>-5.8518649218992005</v>
      </c>
      <c r="S200" s="7">
        <f t="shared" si="56"/>
        <v>2.3092839989639824</v>
      </c>
      <c r="T200" s="7">
        <f t="shared" si="57"/>
        <v>2.3092839989639824</v>
      </c>
      <c r="U200" s="7">
        <f t="shared" si="58"/>
        <v>-5.3778097137725611</v>
      </c>
      <c r="V200" s="7">
        <f t="shared" si="59"/>
        <v>-5.3778097137725611</v>
      </c>
      <c r="W200" s="7">
        <f t="shared" si="60"/>
        <v>3.6560457618226407</v>
      </c>
      <c r="X200" s="7">
        <f t="shared" si="61"/>
        <v>6.5028845853273305</v>
      </c>
      <c r="Y200" s="7">
        <f t="shared" si="62"/>
        <v>-1.2419479949810297</v>
      </c>
    </row>
    <row r="201" ht="14.25">
      <c r="A201">
        <v>-41</v>
      </c>
      <c r="B201">
        <f t="shared" si="44"/>
        <v>-12.300000000000001</v>
      </c>
      <c r="E201">
        <f t="shared" si="45"/>
        <v>-0.65190000000000003</v>
      </c>
      <c r="F201">
        <f t="shared" si="46"/>
        <v>-0.65190000000000003</v>
      </c>
      <c r="G201">
        <f t="shared" si="47"/>
        <v>2.1815568711361619</v>
      </c>
      <c r="H201">
        <f t="shared" si="48"/>
        <v>2.1815568711361619</v>
      </c>
      <c r="I201">
        <f t="shared" si="49"/>
        <v>-0.85276086789991701</v>
      </c>
      <c r="J201">
        <f t="shared" si="50"/>
        <v>2.3423047367545538</v>
      </c>
      <c r="K201" s="6">
        <f t="shared" si="51"/>
        <v>0.17852399999999999</v>
      </c>
      <c r="N201" s="6">
        <f t="shared" si="52"/>
        <v>-73.799999999999997</v>
      </c>
      <c r="O201" s="6">
        <f t="shared" si="53"/>
        <v>-135.40140968044895</v>
      </c>
      <c r="P201" s="7">
        <f t="shared" si="54"/>
        <v>39.33774595153136</v>
      </c>
      <c r="Q201" s="7"/>
      <c r="R201" s="7">
        <f t="shared" si="55"/>
        <v>-5.920894288689313</v>
      </c>
      <c r="S201" s="7">
        <f t="shared" si="56"/>
        <v>2.0849005354311618</v>
      </c>
      <c r="T201" s="7">
        <f t="shared" si="57"/>
        <v>2.0849005354311618</v>
      </c>
      <c r="U201" s="7">
        <f t="shared" si="58"/>
        <v>-5.4929010415657151</v>
      </c>
      <c r="V201" s="7">
        <f t="shared" si="59"/>
        <v>-5.4929010415657151</v>
      </c>
      <c r="W201" s="7">
        <f t="shared" si="60"/>
        <v>3.4447427685955221</v>
      </c>
      <c r="X201" s="7">
        <f t="shared" si="61"/>
        <v>6.4836883480180374</v>
      </c>
      <c r="Y201" s="7">
        <f t="shared" si="62"/>
        <v>-1.2505710046569727</v>
      </c>
    </row>
    <row r="202" ht="14.25">
      <c r="A202">
        <v>-42</v>
      </c>
      <c r="B202">
        <f t="shared" si="44"/>
        <v>-12.6</v>
      </c>
      <c r="E202">
        <f t="shared" si="45"/>
        <v>-0.66779999999999995</v>
      </c>
      <c r="F202">
        <f t="shared" si="46"/>
        <v>-0.66779999999999995</v>
      </c>
      <c r="G202">
        <f t="shared" si="47"/>
        <v>2.178292882032788</v>
      </c>
      <c r="H202">
        <f t="shared" si="48"/>
        <v>2.178292882032788</v>
      </c>
      <c r="I202">
        <f t="shared" si="49"/>
        <v>-0.86866086789991692</v>
      </c>
      <c r="J202">
        <f t="shared" si="50"/>
        <v>2.3451080110168374</v>
      </c>
      <c r="K202" s="6">
        <f t="shared" si="51"/>
        <v>0.17848800000000001</v>
      </c>
      <c r="N202" s="6">
        <f t="shared" si="52"/>
        <v>-75.599999999999994</v>
      </c>
      <c r="O202" s="6">
        <f t="shared" si="53"/>
        <v>-136.57022571913697</v>
      </c>
      <c r="P202" s="7">
        <f t="shared" si="54"/>
        <v>35.06527409024455</v>
      </c>
      <c r="Q202" s="7"/>
      <c r="R202" s="7">
        <f t="shared" si="55"/>
        <v>-5.9828415387397786</v>
      </c>
      <c r="S202" s="7">
        <f t="shared" si="56"/>
        <v>1.8584595267829611</v>
      </c>
      <c r="T202" s="7">
        <f t="shared" si="57"/>
        <v>1.8584595267829611</v>
      </c>
      <c r="U202" s="7">
        <f t="shared" si="58"/>
        <v>-5.6013326302818829</v>
      </c>
      <c r="V202" s="7">
        <f t="shared" si="59"/>
        <v>-5.6013326302818829</v>
      </c>
      <c r="W202" s="7">
        <f t="shared" si="60"/>
        <v>3.230040230144632</v>
      </c>
      <c r="X202" s="7">
        <f t="shared" si="61"/>
        <v>6.4659173458538231</v>
      </c>
      <c r="Y202" s="7">
        <f t="shared" si="62"/>
        <v>-1.2578652658566813</v>
      </c>
    </row>
    <row r="203" ht="14.25">
      <c r="A203">
        <v>-43</v>
      </c>
      <c r="B203">
        <f t="shared" si="44"/>
        <v>-12.9</v>
      </c>
      <c r="E203">
        <f t="shared" si="45"/>
        <v>-0.68369999999999997</v>
      </c>
      <c r="F203">
        <f t="shared" si="46"/>
        <v>-0.68369999999999997</v>
      </c>
      <c r="G203">
        <f t="shared" si="47"/>
        <v>2.1750288929294146</v>
      </c>
      <c r="H203">
        <f t="shared" si="48"/>
        <v>2.1750288929294146</v>
      </c>
      <c r="I203">
        <f t="shared" si="49"/>
        <v>-0.88456086789991695</v>
      </c>
      <c r="J203">
        <f t="shared" si="50"/>
        <v>2.3480201477196929</v>
      </c>
      <c r="K203" s="6">
        <f t="shared" si="51"/>
        <v>0.178452</v>
      </c>
      <c r="N203" s="6">
        <f t="shared" si="52"/>
        <v>-77.400000000000006</v>
      </c>
      <c r="O203" s="6">
        <f t="shared" si="53"/>
        <v>-137.6042634333634</v>
      </c>
      <c r="P203" s="7">
        <f t="shared" si="54"/>
        <v>30.758197036912488</v>
      </c>
      <c r="Q203" s="7"/>
      <c r="R203" s="7">
        <f t="shared" si="55"/>
        <v>-6.0376455375937788</v>
      </c>
      <c r="S203" s="7">
        <f t="shared" si="56"/>
        <v>1.6301844429563619</v>
      </c>
      <c r="T203" s="7">
        <f t="shared" si="57"/>
        <v>1.6301844429563619</v>
      </c>
      <c r="U203" s="7">
        <f t="shared" si="58"/>
        <v>-5.7029974710341049</v>
      </c>
      <c r="V203" s="7">
        <f t="shared" si="59"/>
        <v>-5.7029974710341049</v>
      </c>
      <c r="W203" s="7">
        <f t="shared" si="60"/>
        <v>3.0121500319540715</v>
      </c>
      <c r="X203" s="7">
        <f t="shared" si="61"/>
        <v>6.4495913025262546</v>
      </c>
      <c r="Y203" s="7">
        <f t="shared" si="62"/>
        <v>-1.2638331251870862</v>
      </c>
    </row>
    <row r="204" ht="14.25">
      <c r="A204">
        <v>-44</v>
      </c>
      <c r="B204">
        <f t="shared" si="44"/>
        <v>-13.199999999999999</v>
      </c>
      <c r="E204">
        <f t="shared" si="45"/>
        <v>-0.69959999999999989</v>
      </c>
      <c r="F204">
        <f t="shared" si="46"/>
        <v>-0.69959999999999989</v>
      </c>
      <c r="G204">
        <f t="shared" si="47"/>
        <v>2.1717649038260411</v>
      </c>
      <c r="H204">
        <f t="shared" si="48"/>
        <v>2.1717649038260411</v>
      </c>
      <c r="I204">
        <f t="shared" si="49"/>
        <v>-0.90046086789991686</v>
      </c>
      <c r="J204">
        <f t="shared" si="50"/>
        <v>2.3510407423329789</v>
      </c>
      <c r="K204" s="6">
        <f t="shared" si="51"/>
        <v>0.17841599999999999</v>
      </c>
      <c r="N204" s="6">
        <f t="shared" si="52"/>
        <v>-79.200000000000003</v>
      </c>
      <c r="O204" s="6">
        <f t="shared" si="53"/>
        <v>-138.5025023527451</v>
      </c>
      <c r="P204" s="7">
        <f t="shared" si="54"/>
        <v>26.420765356587189</v>
      </c>
      <c r="Q204" s="7"/>
      <c r="R204" s="7">
        <f t="shared" si="55"/>
        <v>-6.0852522003210092</v>
      </c>
      <c r="S204" s="7">
        <f t="shared" si="56"/>
        <v>1.4003005638991211</v>
      </c>
      <c r="T204" s="7">
        <f t="shared" si="57"/>
        <v>1.4003005638991211</v>
      </c>
      <c r="U204" s="7">
        <f t="shared" si="58"/>
        <v>-5.7977952328987001</v>
      </c>
      <c r="V204" s="7">
        <f t="shared" si="59"/>
        <v>-5.7977952328987001</v>
      </c>
      <c r="W204" s="7">
        <f t="shared" si="60"/>
        <v>2.7912872053432549</v>
      </c>
      <c r="X204" s="7">
        <f t="shared" si="61"/>
        <v>6.4347271756723181</v>
      </c>
      <c r="Y204" s="7">
        <f t="shared" si="62"/>
        <v>-1.268478573870478</v>
      </c>
    </row>
    <row r="205" ht="14.25">
      <c r="A205">
        <v>-45</v>
      </c>
      <c r="B205">
        <f t="shared" si="44"/>
        <v>-13.5</v>
      </c>
      <c r="E205">
        <f t="shared" si="45"/>
        <v>-0.71550000000000002</v>
      </c>
      <c r="F205">
        <f t="shared" si="46"/>
        <v>-0.71550000000000002</v>
      </c>
      <c r="G205">
        <f t="shared" si="47"/>
        <v>2.1685009147226673</v>
      </c>
      <c r="H205">
        <f t="shared" si="48"/>
        <v>2.1685009147226673</v>
      </c>
      <c r="I205">
        <f t="shared" si="49"/>
        <v>-0.916360867899917</v>
      </c>
      <c r="J205">
        <f t="shared" si="50"/>
        <v>2.3541693773752419</v>
      </c>
      <c r="K205" s="6">
        <f t="shared" si="51"/>
        <v>0.17837999999999998</v>
      </c>
      <c r="N205" s="6">
        <f t="shared" si="52"/>
        <v>-81</v>
      </c>
      <c r="O205" s="6">
        <f t="shared" si="53"/>
        <v>-139.26405602391443</v>
      </c>
      <c r="P205" s="7">
        <f t="shared" si="54"/>
        <v>22.05725957067256</v>
      </c>
      <c r="Q205" s="7"/>
      <c r="R205" s="7">
        <f t="shared" si="55"/>
        <v>-6.1256145448929837</v>
      </c>
      <c r="S205" s="7">
        <f t="shared" si="56"/>
        <v>1.1690347572456457</v>
      </c>
      <c r="T205" s="7">
        <f t="shared" si="57"/>
        <v>1.1690347572456457</v>
      </c>
      <c r="U205" s="7">
        <f t="shared" si="58"/>
        <v>-5.8856323619297859</v>
      </c>
      <c r="V205" s="7">
        <f t="shared" si="59"/>
        <v>-5.8856323619297859</v>
      </c>
      <c r="W205" s="7">
        <f t="shared" si="60"/>
        <v>2.5676697152569519</v>
      </c>
      <c r="X205" s="7">
        <f t="shared" si="61"/>
        <v>6.4213391178509571</v>
      </c>
      <c r="Y205" s="7">
        <f t="shared" si="62"/>
        <v>-1.2718072048107349</v>
      </c>
    </row>
    <row r="206" ht="14.25">
      <c r="A206">
        <v>-46</v>
      </c>
      <c r="B206">
        <f t="shared" si="44"/>
        <v>-13.800000000000001</v>
      </c>
      <c r="E206">
        <f t="shared" si="45"/>
        <v>-0.73140000000000005</v>
      </c>
      <c r="F206">
        <f t="shared" si="46"/>
        <v>-0.73140000000000005</v>
      </c>
      <c r="G206">
        <f t="shared" si="47"/>
        <v>2.1652369256192934</v>
      </c>
      <c r="H206">
        <f t="shared" si="48"/>
        <v>2.1652369256192934</v>
      </c>
      <c r="I206">
        <f t="shared" si="49"/>
        <v>-0.93226086789991702</v>
      </c>
      <c r="J206">
        <f t="shared" si="50"/>
        <v>2.3574056226883813</v>
      </c>
      <c r="K206" s="6">
        <f t="shared" si="51"/>
        <v>0.178344</v>
      </c>
      <c r="N206" s="6">
        <f t="shared" si="52"/>
        <v>-82.799999999999997</v>
      </c>
      <c r="O206" s="6">
        <f t="shared" si="53"/>
        <v>-139.88817288534136</v>
      </c>
      <c r="P206" s="7">
        <f t="shared" si="54"/>
        <v>17.671985932566933</v>
      </c>
      <c r="Q206" s="7"/>
      <c r="R206" s="7">
        <f t="shared" si="55"/>
        <v>-6.158692738548611</v>
      </c>
      <c r="S206" s="7">
        <f t="shared" si="56"/>
        <v>0.93661525442604743</v>
      </c>
      <c r="T206" s="7">
        <f t="shared" si="57"/>
        <v>0.93661525442604743</v>
      </c>
      <c r="U206" s="7">
        <f t="shared" si="58"/>
        <v>-5.9664221734857081</v>
      </c>
      <c r="V206" s="7">
        <f t="shared" si="59"/>
        <v>-5.9664221734857081</v>
      </c>
      <c r="W206" s="7">
        <f t="shared" si="60"/>
        <v>2.3415182451602123</v>
      </c>
      <c r="X206" s="7">
        <f t="shared" si="61"/>
        <v>6.4094384500266539</v>
      </c>
      <c r="Y206" s="7">
        <f t="shared" si="62"/>
        <v>-1.2738261669082458</v>
      </c>
    </row>
    <row r="207" ht="14.25">
      <c r="A207">
        <v>-47</v>
      </c>
      <c r="B207">
        <f t="shared" si="44"/>
        <v>-14.1</v>
      </c>
      <c r="E207">
        <f t="shared" si="45"/>
        <v>-0.74729999999999996</v>
      </c>
      <c r="F207">
        <f t="shared" si="46"/>
        <v>-0.74729999999999996</v>
      </c>
      <c r="G207">
        <f t="shared" si="47"/>
        <v>2.1619729365159199</v>
      </c>
      <c r="H207">
        <f t="shared" si="48"/>
        <v>2.1619729365159199</v>
      </c>
      <c r="I207">
        <f t="shared" si="49"/>
        <v>-0.94816086789991694</v>
      </c>
      <c r="J207">
        <f t="shared" si="50"/>
        <v>2.3607490357181118</v>
      </c>
      <c r="K207" s="6">
        <f t="shared" si="51"/>
        <v>0.17830799999999999</v>
      </c>
      <c r="N207" s="6">
        <f t="shared" si="52"/>
        <v>-84.599999999999994</v>
      </c>
      <c r="O207" s="6">
        <f t="shared" si="53"/>
        <v>-140.37423700903429</v>
      </c>
      <c r="P207" s="7">
        <f t="shared" si="54"/>
        <v>13.269272177910546</v>
      </c>
      <c r="Q207" s="7"/>
      <c r="R207" s="7">
        <f t="shared" si="55"/>
        <v>-6.1844541371043364</v>
      </c>
      <c r="S207" s="7">
        <f t="shared" si="56"/>
        <v>0.70327142542925891</v>
      </c>
      <c r="T207" s="7">
        <f t="shared" si="57"/>
        <v>0.70327142542925891</v>
      </c>
      <c r="U207" s="7">
        <f t="shared" si="58"/>
        <v>-6.0400849377763395</v>
      </c>
      <c r="V207" s="7">
        <f t="shared" si="59"/>
        <v>-6.0400849377763395</v>
      </c>
      <c r="W207" s="7">
        <f t="shared" si="60"/>
        <v>2.1130559792504231</v>
      </c>
      <c r="X207" s="7">
        <f t="shared" si="61"/>
        <v>6.3990336479032965</v>
      </c>
      <c r="Y207" s="7">
        <f t="shared" si="62"/>
        <v>-1.274544116827145</v>
      </c>
    </row>
    <row r="208" ht="14.25">
      <c r="A208">
        <v>-48</v>
      </c>
      <c r="B208">
        <f t="shared" si="44"/>
        <v>-14.4</v>
      </c>
      <c r="E208">
        <f t="shared" si="45"/>
        <v>-0.76319999999999999</v>
      </c>
      <c r="F208">
        <f t="shared" si="46"/>
        <v>-0.76319999999999999</v>
      </c>
      <c r="G208">
        <f t="shared" si="47"/>
        <v>2.1587089474125465</v>
      </c>
      <c r="H208">
        <f t="shared" si="48"/>
        <v>2.1587089474125465</v>
      </c>
      <c r="I208">
        <f t="shared" si="49"/>
        <v>-0.96406086789991696</v>
      </c>
      <c r="J208">
        <f t="shared" si="50"/>
        <v>2.3641991617998106</v>
      </c>
      <c r="K208" s="6">
        <f t="shared" si="51"/>
        <v>0.17827199999999999</v>
      </c>
      <c r="N208" s="6">
        <f t="shared" si="52"/>
        <v>-86.400000000000006</v>
      </c>
      <c r="O208" s="6">
        <f t="shared" si="53"/>
        <v>-140.72176870838629</v>
      </c>
      <c r="P208" s="7">
        <f t="shared" si="54"/>
        <v>8.8534632536331763</v>
      </c>
      <c r="Q208" s="7"/>
      <c r="R208" s="7">
        <f t="shared" si="55"/>
        <v>-6.2028733171699919</v>
      </c>
      <c r="S208" s="7">
        <f t="shared" si="56"/>
        <v>0.46923355244255832</v>
      </c>
      <c r="T208" s="7">
        <f t="shared" si="57"/>
        <v>0.46923355244255832</v>
      </c>
      <c r="U208" s="7">
        <f t="shared" si="58"/>
        <v>-6.1065479585467326</v>
      </c>
      <c r="V208" s="7">
        <f t="shared" si="59"/>
        <v>-6.1065479585467326</v>
      </c>
      <c r="W208" s="7">
        <f t="shared" si="60"/>
        <v>1.882508382201451</v>
      </c>
      <c r="X208" s="7">
        <f t="shared" si="61"/>
        <v>6.3901303413224673</v>
      </c>
      <c r="Y208" s="7">
        <f t="shared" si="62"/>
        <v>-1.2739711684249526</v>
      </c>
    </row>
    <row r="209" ht="14.25">
      <c r="A209">
        <v>-49</v>
      </c>
      <c r="B209">
        <f t="shared" si="44"/>
        <v>-14.699999999999999</v>
      </c>
      <c r="E209">
        <f t="shared" si="45"/>
        <v>-0.7790999999999999</v>
      </c>
      <c r="F209">
        <f t="shared" si="46"/>
        <v>-0.7790999999999999</v>
      </c>
      <c r="G209">
        <f t="shared" si="47"/>
        <v>2.1554449583091726</v>
      </c>
      <c r="H209">
        <f t="shared" si="48"/>
        <v>2.1554449583091726</v>
      </c>
      <c r="I209">
        <f t="shared" si="49"/>
        <v>-0.97996086789991688</v>
      </c>
      <c r="J209">
        <f t="shared" si="50"/>
        <v>2.3677555344493633</v>
      </c>
      <c r="K209" s="6">
        <f t="shared" si="51"/>
        <v>0.17823600000000001</v>
      </c>
      <c r="N209" s="6">
        <f t="shared" si="52"/>
        <v>-88.200000000000003</v>
      </c>
      <c r="O209" s="6">
        <f t="shared" si="53"/>
        <v>-140.93042501156816</v>
      </c>
      <c r="P209" s="7">
        <f t="shared" si="54"/>
        <v>4.4289170300161036</v>
      </c>
      <c r="Q209" s="7"/>
      <c r="R209" s="7">
        <f t="shared" si="55"/>
        <v>-6.2139321012386315</v>
      </c>
      <c r="S209" s="7">
        <f t="shared" si="56"/>
        <v>0.23473260259085349</v>
      </c>
      <c r="T209" s="7">
        <f t="shared" si="57"/>
        <v>0.23473260259085349</v>
      </c>
      <c r="U209" s="7">
        <f t="shared" si="58"/>
        <v>-6.1657456448195695</v>
      </c>
      <c r="V209" s="7">
        <f t="shared" si="59"/>
        <v>-6.1657456448195695</v>
      </c>
      <c r="W209" s="7">
        <f t="shared" si="60"/>
        <v>1.6501029766572413</v>
      </c>
      <c r="X209" s="7">
        <f t="shared" si="61"/>
        <v>6.3827313268055219</v>
      </c>
      <c r="Y209" s="7">
        <f t="shared" si="62"/>
        <v>-1.2721188400604002</v>
      </c>
    </row>
    <row r="210" ht="14.25">
      <c r="A210">
        <v>-50</v>
      </c>
      <c r="B210">
        <f t="shared" si="44"/>
        <v>-15</v>
      </c>
      <c r="E210">
        <f t="shared" si="45"/>
        <v>-0.79499999999999993</v>
      </c>
      <c r="F210">
        <f t="shared" si="46"/>
        <v>-0.79499999999999993</v>
      </c>
      <c r="G210">
        <f t="shared" si="47"/>
        <v>2.1521809692057992</v>
      </c>
      <c r="H210">
        <f t="shared" si="48"/>
        <v>2.1521809692057992</v>
      </c>
      <c r="I210">
        <f t="shared" si="49"/>
        <v>-0.9958608678999169</v>
      </c>
      <c r="J210">
        <f t="shared" si="50"/>
        <v>2.3714176756585896</v>
      </c>
      <c r="K210" s="6">
        <f t="shared" si="51"/>
        <v>0.1782</v>
      </c>
      <c r="N210" s="6">
        <f t="shared" si="52"/>
        <v>-90</v>
      </c>
      <c r="O210" s="6">
        <f t="shared" si="53"/>
        <v>-141</v>
      </c>
      <c r="P210" s="7">
        <f t="shared" si="54"/>
        <v>8.6337599339888406e-15</v>
      </c>
      <c r="Q210" s="7"/>
      <c r="R210" s="7">
        <f t="shared" si="55"/>
        <v>-6.2176195756255188</v>
      </c>
      <c r="S210" s="7">
        <f t="shared" si="56"/>
        <v>4.5758927650140853e-16</v>
      </c>
      <c r="T210" s="7">
        <f t="shared" si="57"/>
        <v>4.5758927650140853e-16</v>
      </c>
      <c r="U210" s="7">
        <f t="shared" si="58"/>
        <v>-6.2176195756255188</v>
      </c>
      <c r="V210" s="7">
        <f t="shared" si="59"/>
        <v>-6.2176195756255188</v>
      </c>
      <c r="W210" s="7">
        <f t="shared" si="60"/>
        <v>1.4160691186944152</v>
      </c>
      <c r="X210" s="7">
        <f t="shared" si="61"/>
        <v>6.3768365931801672</v>
      </c>
      <c r="Y210" s="7">
        <f t="shared" si="62"/>
        <v>-1.2689999999999999</v>
      </c>
    </row>
    <row r="211" ht="14.25">
      <c r="A211">
        <v>-51</v>
      </c>
      <c r="B211">
        <f t="shared" si="44"/>
        <v>-15.300000000000001</v>
      </c>
      <c r="E211">
        <f t="shared" si="45"/>
        <v>-0.81090000000000007</v>
      </c>
      <c r="F211">
        <f t="shared" si="46"/>
        <v>-0.81090000000000007</v>
      </c>
      <c r="G211">
        <f t="shared" si="47"/>
        <v>2.1489169801024253</v>
      </c>
      <c r="H211">
        <f t="shared" si="48"/>
        <v>2.1489169801024253</v>
      </c>
      <c r="I211">
        <f t="shared" si="49"/>
        <v>-1.011760867899917</v>
      </c>
      <c r="J211">
        <f t="shared" si="50"/>
        <v>2.375185096194846</v>
      </c>
      <c r="K211" s="6">
        <f t="shared" si="51"/>
        <v>0.17816399999999999</v>
      </c>
      <c r="N211" s="6">
        <f t="shared" si="52"/>
        <v>-91.799999999999997</v>
      </c>
      <c r="O211" s="6">
        <f t="shared" si="53"/>
        <v>-140.93042501156816</v>
      </c>
      <c r="P211" s="7">
        <f t="shared" si="54"/>
        <v>-4.4289170300160876</v>
      </c>
      <c r="Q211" s="7"/>
      <c r="R211" s="7">
        <f t="shared" si="55"/>
        <v>-6.2139321012386315</v>
      </c>
      <c r="S211" s="7">
        <f t="shared" si="56"/>
        <v>-0.23473260259085263</v>
      </c>
      <c r="T211" s="7">
        <f t="shared" si="57"/>
        <v>-0.23473260259085263</v>
      </c>
      <c r="U211" s="7">
        <f t="shared" si="58"/>
        <v>-6.2621185576576934</v>
      </c>
      <c r="V211" s="7">
        <f t="shared" si="59"/>
        <v>-6.2621185576576934</v>
      </c>
      <c r="W211" s="7">
        <f t="shared" si="60"/>
        <v>1.1806377714755349</v>
      </c>
      <c r="X211" s="7">
        <f t="shared" si="61"/>
        <v>6.3724433600931754</v>
      </c>
      <c r="Y211" s="7">
        <f t="shared" si="62"/>
        <v>-1.2646288101478267</v>
      </c>
    </row>
    <row r="212" ht="14.25">
      <c r="A212">
        <v>-52</v>
      </c>
      <c r="B212">
        <f t="shared" si="44"/>
        <v>-15.6</v>
      </c>
      <c r="E212">
        <f t="shared" si="45"/>
        <v>-0.82679999999999998</v>
      </c>
      <c r="F212">
        <f t="shared" si="46"/>
        <v>-0.82679999999999998</v>
      </c>
      <c r="G212">
        <f t="shared" si="47"/>
        <v>2.1456529909990518</v>
      </c>
      <c r="H212">
        <f t="shared" si="48"/>
        <v>2.1456529909990518</v>
      </c>
      <c r="I212">
        <f t="shared" si="49"/>
        <v>-1.0276608678999171</v>
      </c>
      <c r="J212">
        <f t="shared" si="50"/>
        <v>2.3790572959044067</v>
      </c>
      <c r="K212" s="6">
        <f t="shared" si="51"/>
        <v>0.17812800000000001</v>
      </c>
      <c r="N212" s="6">
        <f t="shared" si="52"/>
        <v>-93.599999999999994</v>
      </c>
      <c r="O212" s="6">
        <f t="shared" si="53"/>
        <v>-140.72176870838629</v>
      </c>
      <c r="P212" s="7">
        <f t="shared" si="54"/>
        <v>-8.8534632536331888</v>
      </c>
      <c r="Q212" s="7"/>
      <c r="R212" s="7">
        <f t="shared" si="55"/>
        <v>-6.2028733171699919</v>
      </c>
      <c r="S212" s="7">
        <f t="shared" si="56"/>
        <v>-0.46923355244255899</v>
      </c>
      <c r="T212" s="7">
        <f t="shared" si="57"/>
        <v>-0.46923355244255899</v>
      </c>
      <c r="U212" s="7">
        <f t="shared" si="58"/>
        <v>-6.2991986757932512</v>
      </c>
      <c r="V212" s="7">
        <f t="shared" si="59"/>
        <v>-6.2991986757932512</v>
      </c>
      <c r="W212" s="7">
        <f t="shared" si="60"/>
        <v>0.94404127731633358</v>
      </c>
      <c r="X212" s="7">
        <f t="shared" si="61"/>
        <v>6.3695461290732878</v>
      </c>
      <c r="Y212" s="7">
        <f t="shared" si="62"/>
        <v>-1.2590206683260008</v>
      </c>
    </row>
    <row r="213" ht="14.25">
      <c r="A213">
        <v>-53</v>
      </c>
      <c r="B213">
        <f t="shared" si="44"/>
        <v>-15.9</v>
      </c>
      <c r="E213">
        <f t="shared" si="45"/>
        <v>-0.8427</v>
      </c>
      <c r="F213">
        <f t="shared" si="46"/>
        <v>-0.8427</v>
      </c>
      <c r="G213">
        <f t="shared" si="47"/>
        <v>2.1423890018956779</v>
      </c>
      <c r="H213">
        <f t="shared" si="48"/>
        <v>2.1423890018956779</v>
      </c>
      <c r="I213">
        <f t="shared" si="49"/>
        <v>-1.0435608678999171</v>
      </c>
      <c r="J213">
        <f t="shared" si="50"/>
        <v>2.3830337640192147</v>
      </c>
      <c r="K213" s="6">
        <f t="shared" si="51"/>
        <v>0.178092</v>
      </c>
      <c r="N213" s="6">
        <f t="shared" si="52"/>
        <v>-95.400000000000006</v>
      </c>
      <c r="O213" s="6">
        <f t="shared" si="53"/>
        <v>-140.37423700903429</v>
      </c>
      <c r="P213" s="7">
        <f t="shared" si="54"/>
        <v>-13.269272177910528</v>
      </c>
      <c r="Q213" s="7"/>
      <c r="R213" s="7">
        <f t="shared" si="55"/>
        <v>-6.1844541371043364</v>
      </c>
      <c r="S213" s="7">
        <f t="shared" si="56"/>
        <v>-0.70327142542925791</v>
      </c>
      <c r="T213" s="7">
        <f t="shared" si="57"/>
        <v>-0.70327142542925791</v>
      </c>
      <c r="U213" s="7">
        <f t="shared" si="58"/>
        <v>-6.3288233364323334</v>
      </c>
      <c r="V213" s="7">
        <f t="shared" si="59"/>
        <v>-6.3288233364323334</v>
      </c>
      <c r="W213" s="7">
        <f t="shared" si="60"/>
        <v>0.70651312839190605</v>
      </c>
      <c r="X213" s="7">
        <f t="shared" si="61"/>
        <v>6.3681367466756402</v>
      </c>
      <c r="Y213" s="7">
        <f t="shared" si="62"/>
        <v>-1.2521921493354722</v>
      </c>
    </row>
    <row r="214" ht="14.25">
      <c r="A214">
        <v>-54</v>
      </c>
      <c r="B214">
        <f t="shared" si="44"/>
        <v>-16.199999999999999</v>
      </c>
      <c r="E214">
        <f t="shared" si="45"/>
        <v>-0.85859999999999992</v>
      </c>
      <c r="F214">
        <f t="shared" si="46"/>
        <v>-0.85859999999999992</v>
      </c>
      <c r="G214">
        <f t="shared" si="47"/>
        <v>2.1391250127923045</v>
      </c>
      <c r="H214">
        <f t="shared" si="48"/>
        <v>2.1391250127923045</v>
      </c>
      <c r="I214">
        <f t="shared" si="49"/>
        <v>-1.0594608678999169</v>
      </c>
      <c r="J214">
        <f t="shared" si="50"/>
        <v>2.3871139794666116</v>
      </c>
      <c r="K214" s="6">
        <f t="shared" si="51"/>
        <v>0.17805599999999999</v>
      </c>
      <c r="N214" s="6">
        <f t="shared" si="52"/>
        <v>-97.200000000000003</v>
      </c>
      <c r="O214" s="6">
        <f t="shared" si="53"/>
        <v>-139.88817288534136</v>
      </c>
      <c r="P214" s="7">
        <f t="shared" si="54"/>
        <v>-17.671985932566916</v>
      </c>
      <c r="Q214" s="7"/>
      <c r="R214" s="7">
        <f t="shared" si="55"/>
        <v>-6.158692738548611</v>
      </c>
      <c r="S214" s="7">
        <f t="shared" si="56"/>
        <v>-0.93661525442604654</v>
      </c>
      <c r="T214" s="7">
        <f t="shared" si="57"/>
        <v>-0.93661525442604654</v>
      </c>
      <c r="U214" s="7">
        <f t="shared" si="58"/>
        <v>-6.3509633036115138</v>
      </c>
      <c r="V214" s="7">
        <f t="shared" si="59"/>
        <v>-6.3509633036115138</v>
      </c>
      <c r="W214" s="7">
        <f t="shared" si="60"/>
        <v>0.46828773630811849</v>
      </c>
      <c r="X214" s="7">
        <f t="shared" si="61"/>
        <v>6.3682044791131398</v>
      </c>
      <c r="Y214" s="7">
        <f t="shared" si="62"/>
        <v>-1.244160945027899</v>
      </c>
    </row>
    <row r="215" ht="14.25">
      <c r="A215">
        <v>-55</v>
      </c>
      <c r="B215">
        <f t="shared" si="44"/>
        <v>-16.5</v>
      </c>
      <c r="E215">
        <f t="shared" si="45"/>
        <v>-0.87449999999999994</v>
      </c>
      <c r="F215">
        <f t="shared" si="46"/>
        <v>-0.87449999999999994</v>
      </c>
      <c r="G215">
        <f t="shared" si="47"/>
        <v>2.1358610236889306</v>
      </c>
      <c r="H215">
        <f t="shared" si="48"/>
        <v>2.1358610236889306</v>
      </c>
      <c r="I215">
        <f t="shared" si="49"/>
        <v>-1.0753608678999169</v>
      </c>
      <c r="J215">
        <f t="shared" si="50"/>
        <v>2.3912974111816347</v>
      </c>
      <c r="K215" s="6">
        <f t="shared" si="51"/>
        <v>0.17801999999999998</v>
      </c>
      <c r="N215" s="6">
        <f t="shared" si="52"/>
        <v>-99</v>
      </c>
      <c r="O215" s="6">
        <f t="shared" si="53"/>
        <v>-139.26405602391441</v>
      </c>
      <c r="P215" s="7">
        <f t="shared" si="54"/>
        <v>-22.057259570672574</v>
      </c>
      <c r="Q215" s="7"/>
      <c r="R215" s="7">
        <f t="shared" si="55"/>
        <v>-6.125614544892982</v>
      </c>
      <c r="S215" s="7">
        <f t="shared" si="56"/>
        <v>-1.1690347572456463</v>
      </c>
      <c r="T215" s="7">
        <f t="shared" si="57"/>
        <v>-1.1690347572456463</v>
      </c>
      <c r="U215" s="7">
        <f t="shared" si="58"/>
        <v>-6.3655967278561798</v>
      </c>
      <c r="V215" s="7">
        <f t="shared" si="59"/>
        <v>-6.3655967278561798</v>
      </c>
      <c r="W215" s="7">
        <f t="shared" si="60"/>
        <v>0.22960020076565923</v>
      </c>
      <c r="X215" s="7">
        <f t="shared" si="61"/>
        <v>6.3697360976640889</v>
      </c>
      <c r="Y215" s="7">
        <f t="shared" si="62"/>
        <v>-1.2349458036197247</v>
      </c>
    </row>
    <row r="216" ht="14.25">
      <c r="A216">
        <v>-56</v>
      </c>
      <c r="B216">
        <f t="shared" si="44"/>
        <v>-16.800000000000001</v>
      </c>
      <c r="E216">
        <f t="shared" si="45"/>
        <v>-0.89039999999999997</v>
      </c>
      <c r="F216">
        <f t="shared" si="46"/>
        <v>-0.89039999999999997</v>
      </c>
      <c r="G216">
        <f t="shared" si="47"/>
        <v>2.1325970345855572</v>
      </c>
      <c r="H216">
        <f t="shared" si="48"/>
        <v>2.1325970345855572</v>
      </c>
      <c r="I216">
        <f t="shared" si="49"/>
        <v>-1.0912608678999169</v>
      </c>
      <c r="J216">
        <f t="shared" si="50"/>
        <v>2.3955835184215122</v>
      </c>
      <c r="K216" s="6">
        <f t="shared" si="51"/>
        <v>0.177984</v>
      </c>
      <c r="N216" s="6">
        <f t="shared" si="52"/>
        <v>-100.8</v>
      </c>
      <c r="O216" s="6">
        <f t="shared" si="53"/>
        <v>-138.5025023527451</v>
      </c>
      <c r="P216" s="7">
        <f t="shared" si="54"/>
        <v>-26.420765356587136</v>
      </c>
      <c r="Q216" s="7"/>
      <c r="R216" s="7">
        <f t="shared" si="55"/>
        <v>-6.0852522003210092</v>
      </c>
      <c r="S216" s="7">
        <f t="shared" si="56"/>
        <v>-1.4003005638991182</v>
      </c>
      <c r="T216" s="7">
        <f t="shared" si="57"/>
        <v>-1.4003005638991182</v>
      </c>
      <c r="U216" s="7">
        <f t="shared" si="58"/>
        <v>-6.3727091677433174</v>
      </c>
      <c r="V216" s="7">
        <f t="shared" si="59"/>
        <v>-6.3727091677433174</v>
      </c>
      <c r="W216" s="7">
        <f t="shared" si="60"/>
        <v>-0.0093139224549843025</v>
      </c>
      <c r="X216" s="7">
        <f t="shared" si="61"/>
        <v>6.3727159740405206</v>
      </c>
      <c r="Y216" s="7">
        <f t="shared" si="62"/>
        <v>-1.2245664684789337</v>
      </c>
    </row>
    <row r="217" ht="14.25">
      <c r="A217">
        <v>-57</v>
      </c>
      <c r="B217">
        <f t="shared" si="44"/>
        <v>-17.100000000000001</v>
      </c>
      <c r="E217">
        <f t="shared" si="45"/>
        <v>-0.90629999999999999</v>
      </c>
      <c r="F217">
        <f t="shared" si="46"/>
        <v>-0.90629999999999999</v>
      </c>
      <c r="G217">
        <f t="shared" si="47"/>
        <v>2.1293330454821833</v>
      </c>
      <c r="H217">
        <f t="shared" si="48"/>
        <v>2.1293330454821833</v>
      </c>
      <c r="I217">
        <f t="shared" si="49"/>
        <v>-1.107160867899917</v>
      </c>
      <c r="J217">
        <f t="shared" si="50"/>
        <v>2.3999717510819427</v>
      </c>
      <c r="K217" s="6">
        <f t="shared" si="51"/>
        <v>0.177948</v>
      </c>
      <c r="N217" s="6">
        <f t="shared" si="52"/>
        <v>-102.59999999999999</v>
      </c>
      <c r="O217" s="6">
        <f t="shared" si="53"/>
        <v>-137.6042634333634</v>
      </c>
      <c r="P217" s="7">
        <f t="shared" si="54"/>
        <v>-30.75819703691247</v>
      </c>
      <c r="Q217" s="7"/>
      <c r="R217" s="7">
        <f t="shared" si="55"/>
        <v>-6.0376455375937788</v>
      </c>
      <c r="S217" s="7">
        <f t="shared" si="56"/>
        <v>-1.6301844429563608</v>
      </c>
      <c r="T217" s="7">
        <f t="shared" si="57"/>
        <v>-1.6301844429563608</v>
      </c>
      <c r="U217" s="7">
        <f t="shared" si="58"/>
        <v>-6.3722936041534526</v>
      </c>
      <c r="V217" s="7">
        <f t="shared" si="59"/>
        <v>-6.3722936041534526</v>
      </c>
      <c r="W217" s="7">
        <f t="shared" si="60"/>
        <v>-0.2482188539586514</v>
      </c>
      <c r="X217" s="7">
        <f t="shared" si="61"/>
        <v>6.3771261848104857</v>
      </c>
      <c r="Y217" s="7">
        <f t="shared" si="62"/>
        <v>-1.2130436166134551</v>
      </c>
    </row>
    <row r="218" ht="14.25">
      <c r="A218">
        <v>-58</v>
      </c>
      <c r="B218">
        <f t="shared" si="44"/>
        <v>-17.399999999999999</v>
      </c>
      <c r="E218">
        <f t="shared" si="45"/>
        <v>-0.92219999999999991</v>
      </c>
      <c r="F218">
        <f t="shared" si="46"/>
        <v>-0.92219999999999991</v>
      </c>
      <c r="G218">
        <f t="shared" si="47"/>
        <v>2.1260690563788098</v>
      </c>
      <c r="H218">
        <f t="shared" si="48"/>
        <v>2.1260690563788098</v>
      </c>
      <c r="I218">
        <f t="shared" si="49"/>
        <v>-1.123060867899917</v>
      </c>
      <c r="J218">
        <f t="shared" si="50"/>
        <v>2.4044615500148048</v>
      </c>
      <c r="K218" s="6">
        <f t="shared" si="51"/>
        <v>0.17791199999999999</v>
      </c>
      <c r="N218" s="6">
        <f t="shared" si="52"/>
        <v>-104.40000000000001</v>
      </c>
      <c r="O218" s="6">
        <f t="shared" si="53"/>
        <v>-136.57022571913697</v>
      </c>
      <c r="P218" s="7">
        <f t="shared" si="54"/>
        <v>-35.065274090244536</v>
      </c>
      <c r="Q218" s="7"/>
      <c r="R218" s="7">
        <f t="shared" si="55"/>
        <v>-5.9828415387397786</v>
      </c>
      <c r="S218" s="7">
        <f t="shared" si="56"/>
        <v>-1.8584595267829604</v>
      </c>
      <c r="T218" s="7">
        <f t="shared" si="57"/>
        <v>-1.8584595267829604</v>
      </c>
      <c r="U218" s="7">
        <f t="shared" si="58"/>
        <v>-6.3643504471976735</v>
      </c>
      <c r="V218" s="7">
        <f t="shared" si="59"/>
        <v>-6.3643504471976735</v>
      </c>
      <c r="W218" s="7">
        <f t="shared" si="60"/>
        <v>-0.4868788234212893</v>
      </c>
      <c r="X218" s="7">
        <f t="shared" si="61"/>
        <v>6.3829466238909847</v>
      </c>
      <c r="Y218" s="7">
        <f t="shared" si="62"/>
        <v>-1.2003987970877841</v>
      </c>
    </row>
    <row r="219" ht="14.25">
      <c r="A219">
        <v>-59</v>
      </c>
      <c r="B219">
        <f t="shared" si="44"/>
        <v>-17.699999999999999</v>
      </c>
      <c r="E219">
        <f t="shared" si="45"/>
        <v>-0.93809999999999993</v>
      </c>
      <c r="F219">
        <f t="shared" si="46"/>
        <v>-0.93809999999999993</v>
      </c>
      <c r="G219">
        <f t="shared" si="47"/>
        <v>2.1228050672754359</v>
      </c>
      <c r="H219">
        <f t="shared" si="48"/>
        <v>2.1228050672754359</v>
      </c>
      <c r="I219">
        <f t="shared" si="49"/>
        <v>-1.138960867899917</v>
      </c>
      <c r="J219">
        <f t="shared" si="50"/>
        <v>2.4090523473468979</v>
      </c>
      <c r="K219" s="6">
        <f t="shared" si="51"/>
        <v>0.17787599999999998</v>
      </c>
      <c r="N219" s="6">
        <f t="shared" si="52"/>
        <v>-106.2</v>
      </c>
      <c r="O219" s="6">
        <f t="shared" si="53"/>
        <v>-135.40140968044898</v>
      </c>
      <c r="P219" s="7">
        <f t="shared" si="54"/>
        <v>-39.337745951531311</v>
      </c>
      <c r="Q219" s="7"/>
      <c r="R219" s="7">
        <f t="shared" si="55"/>
        <v>-5.9208942886893148</v>
      </c>
      <c r="S219" s="7">
        <f t="shared" si="56"/>
        <v>-2.0849005354311596</v>
      </c>
      <c r="T219" s="7">
        <f t="shared" si="57"/>
        <v>-2.0849005354311596</v>
      </c>
      <c r="U219" s="7">
        <f t="shared" si="58"/>
        <v>-6.3488875358129118</v>
      </c>
      <c r="V219" s="7">
        <f t="shared" si="59"/>
        <v>-6.3488875358129118</v>
      </c>
      <c r="W219" s="7">
        <f t="shared" si="60"/>
        <v>-0.72505830226679935</v>
      </c>
      <c r="X219" s="7">
        <f t="shared" si="61"/>
        <v>6.3901551220675827</v>
      </c>
      <c r="Y219" s="7">
        <f t="shared" si="62"/>
        <v>-1.1866543695911087</v>
      </c>
    </row>
    <row r="220" ht="14.25">
      <c r="A220">
        <v>-60</v>
      </c>
      <c r="B220">
        <f t="shared" si="44"/>
        <v>-18</v>
      </c>
      <c r="E220">
        <f t="shared" si="45"/>
        <v>-0.95399999999999996</v>
      </c>
      <c r="F220">
        <f t="shared" si="46"/>
        <v>-0.95399999999999996</v>
      </c>
      <c r="G220">
        <f t="shared" si="47"/>
        <v>2.1195410781720625</v>
      </c>
      <c r="H220">
        <f t="shared" si="48"/>
        <v>2.1195410781720625</v>
      </c>
      <c r="I220">
        <f t="shared" si="49"/>
        <v>-1.154860867899917</v>
      </c>
      <c r="J220">
        <f t="shared" si="50"/>
        <v>2.413743566799369</v>
      </c>
      <c r="K220" s="6">
        <f t="shared" si="51"/>
        <v>0.17784</v>
      </c>
      <c r="N220" s="6">
        <f t="shared" si="52"/>
        <v>-108</v>
      </c>
      <c r="O220" s="6">
        <f t="shared" si="53"/>
        <v>-134.09896879761666</v>
      </c>
      <c r="P220" s="7">
        <f t="shared" si="54"/>
        <v>-43.571396206867576</v>
      </c>
      <c r="Q220" s="7"/>
      <c r="R220" s="7">
        <f t="shared" si="55"/>
        <v>-5.8518649218992023</v>
      </c>
      <c r="S220" s="7">
        <f t="shared" si="56"/>
        <v>-2.3092839989639815</v>
      </c>
      <c r="T220" s="7">
        <f t="shared" si="57"/>
        <v>-2.3092839989639815</v>
      </c>
      <c r="U220" s="7">
        <f t="shared" si="58"/>
        <v>-6.3259201300258416</v>
      </c>
      <c r="V220" s="7">
        <f t="shared" si="59"/>
        <v>-6.3259201300258416</v>
      </c>
      <c r="W220" s="7">
        <f t="shared" si="60"/>
        <v>-0.96252223610532295</v>
      </c>
      <c r="X220" s="7">
        <f t="shared" si="61"/>
        <v>6.3987275724524606</v>
      </c>
      <c r="Y220" s="7">
        <f t="shared" si="62"/>
        <v>-1.17183344337607</v>
      </c>
    </row>
    <row r="221" ht="14.25">
      <c r="A221">
        <v>-61</v>
      </c>
      <c r="B221">
        <f t="shared" si="44"/>
        <v>-18.300000000000001</v>
      </c>
      <c r="E221">
        <f t="shared" si="45"/>
        <v>-0.96989999999999998</v>
      </c>
      <c r="F221">
        <f t="shared" si="46"/>
        <v>-0.96989999999999998</v>
      </c>
      <c r="G221">
        <f t="shared" si="47"/>
        <v>2.1162770890686886</v>
      </c>
      <c r="H221">
        <f t="shared" si="48"/>
        <v>2.1162770890686886</v>
      </c>
      <c r="I221">
        <f t="shared" si="49"/>
        <v>-1.1707608678999171</v>
      </c>
      <c r="J221">
        <f t="shared" si="50"/>
        <v>2.4185346240074401</v>
      </c>
      <c r="K221" s="6">
        <f t="shared" si="51"/>
        <v>0.17780400000000002</v>
      </c>
      <c r="N221" s="6">
        <f t="shared" si="52"/>
        <v>-109.8</v>
      </c>
      <c r="O221" s="6">
        <f t="shared" si="53"/>
        <v>-132.66418842254578</v>
      </c>
      <c r="P221" s="7">
        <f t="shared" si="54"/>
        <v>-47.762046754586081</v>
      </c>
      <c r="Q221" s="7"/>
      <c r="R221" s="7">
        <f t="shared" si="55"/>
        <v>-5.7758215620204449</v>
      </c>
      <c r="S221" s="7">
        <f t="shared" si="56"/>
        <v>-2.5313884779930622</v>
      </c>
      <c r="T221" s="7">
        <f t="shared" si="57"/>
        <v>-2.5313884779930622</v>
      </c>
      <c r="U221" s="7">
        <f t="shared" si="58"/>
        <v>-6.2954708958930841</v>
      </c>
      <c r="V221" s="7">
        <f t="shared" si="59"/>
        <v>-6.2954708958930841</v>
      </c>
      <c r="W221" s="7">
        <f t="shared" si="60"/>
        <v>-1.1990362767035287</v>
      </c>
      <c r="X221" s="7">
        <f t="shared" si="61"/>
        <v>6.4086380607651678</v>
      </c>
      <c r="Y221" s="7">
        <f t="shared" si="62"/>
        <v>-1.1559598167823308</v>
      </c>
    </row>
    <row r="222" ht="14.25">
      <c r="A222">
        <v>-62</v>
      </c>
      <c r="B222">
        <f t="shared" si="44"/>
        <v>-18.600000000000001</v>
      </c>
      <c r="E222">
        <f t="shared" si="45"/>
        <v>-0.98580000000000001</v>
      </c>
      <c r="F222">
        <f t="shared" si="46"/>
        <v>-0.98580000000000001</v>
      </c>
      <c r="G222">
        <f t="shared" si="47"/>
        <v>2.1130130999653152</v>
      </c>
      <c r="H222">
        <f t="shared" si="48"/>
        <v>2.1130130999653152</v>
      </c>
      <c r="I222">
        <f t="shared" si="49"/>
        <v>-1.1866608678999171</v>
      </c>
      <c r="J222">
        <f t="shared" si="50"/>
        <v>2.4234249268401147</v>
      </c>
      <c r="K222" s="6">
        <f t="shared" si="51"/>
        <v>0.17776799999999998</v>
      </c>
      <c r="N222" s="6">
        <f t="shared" si="52"/>
        <v>-111.59999999999999</v>
      </c>
      <c r="O222" s="6">
        <f t="shared" si="53"/>
        <v>-131.09848451024345</v>
      </c>
      <c r="P222" s="7">
        <f t="shared" si="54"/>
        <v>-51.905561928539598</v>
      </c>
      <c r="Q222" s="7"/>
      <c r="R222" s="7">
        <f t="shared" si="55"/>
        <v>-5.6928392546684217</v>
      </c>
      <c r="S222" s="7">
        <f t="shared" si="56"/>
        <v>-2.7509947822125986</v>
      </c>
      <c r="T222" s="7">
        <f t="shared" si="57"/>
        <v>-2.7509947822125986</v>
      </c>
      <c r="U222" s="7">
        <f t="shared" si="58"/>
        <v>-6.257569883132553</v>
      </c>
      <c r="V222" s="7">
        <f t="shared" si="59"/>
        <v>-6.257569883132553</v>
      </c>
      <c r="W222" s="7">
        <f t="shared" si="60"/>
        <v>-1.4343670132580324</v>
      </c>
      <c r="X222" s="7">
        <f t="shared" si="61"/>
        <v>6.4198589993091222</v>
      </c>
      <c r="Y222" s="7">
        <f t="shared" si="62"/>
        <v>-1.1390579175532862</v>
      </c>
    </row>
    <row r="223" ht="14.25">
      <c r="A223">
        <v>-63</v>
      </c>
      <c r="B223">
        <f t="shared" si="44"/>
        <v>-18.899999999999999</v>
      </c>
      <c r="E223">
        <f t="shared" si="45"/>
        <v>-1.0016999999999998</v>
      </c>
      <c r="F223">
        <f t="shared" si="46"/>
        <v>-1.0016999999999998</v>
      </c>
      <c r="G223">
        <f t="shared" si="47"/>
        <v>2.1097491108619417</v>
      </c>
      <c r="H223">
        <f t="shared" si="48"/>
        <v>2.1097491108619417</v>
      </c>
      <c r="I223">
        <f t="shared" si="49"/>
        <v>-1.2025608678999169</v>
      </c>
      <c r="J223">
        <f t="shared" si="50"/>
        <v>2.4284138757194902</v>
      </c>
      <c r="K223" s="6">
        <f t="shared" si="51"/>
        <v>0.177732</v>
      </c>
      <c r="N223" s="6">
        <f t="shared" si="52"/>
        <v>-113.40000000000001</v>
      </c>
      <c r="O223" s="6">
        <f t="shared" si="53"/>
        <v>-129.40340222144135</v>
      </c>
      <c r="P223" s="7">
        <f t="shared" si="54"/>
        <v>-55.997852579504041</v>
      </c>
      <c r="Q223" s="7"/>
      <c r="R223" s="7">
        <f t="shared" si="55"/>
        <v>-5.6029998933619103</v>
      </c>
      <c r="S223" s="7">
        <f t="shared" si="56"/>
        <v>-2.9678861867137143</v>
      </c>
      <c r="T223" s="7">
        <f t="shared" si="57"/>
        <v>-2.9678861867137143</v>
      </c>
      <c r="U223" s="7">
        <f t="shared" si="58"/>
        <v>-6.2122544954679944</v>
      </c>
      <c r="V223" s="7">
        <f t="shared" si="59"/>
        <v>-6.2122544954679944</v>
      </c>
      <c r="W223" s="7">
        <f t="shared" si="60"/>
        <v>-1.6682822027436763</v>
      </c>
      <c r="X223" s="7">
        <f t="shared" si="61"/>
        <v>6.4323612635216314</v>
      </c>
      <c r="Y223" s="7">
        <f t="shared" si="62"/>
        <v>-1.121152744147677</v>
      </c>
    </row>
    <row r="224" ht="14.25">
      <c r="A224">
        <v>-64</v>
      </c>
      <c r="B224">
        <f t="shared" si="44"/>
        <v>-19.199999999999999</v>
      </c>
      <c r="E224">
        <f t="shared" si="45"/>
        <v>-1.0175999999999998</v>
      </c>
      <c r="F224">
        <f t="shared" si="46"/>
        <v>-1.0175999999999998</v>
      </c>
      <c r="G224">
        <f t="shared" si="47"/>
        <v>2.1064851217585678</v>
      </c>
      <c r="H224">
        <f t="shared" si="48"/>
        <v>2.1064851217585678</v>
      </c>
      <c r="I224">
        <f t="shared" si="49"/>
        <v>-1.2184608678999169</v>
      </c>
      <c r="J224">
        <f t="shared" si="50"/>
        <v>2.4335008639393632</v>
      </c>
      <c r="K224" s="6">
        <f t="shared" si="51"/>
        <v>0.17769599999999999</v>
      </c>
      <c r="N224" s="6">
        <f t="shared" si="52"/>
        <v>-115.2</v>
      </c>
      <c r="O224" s="6">
        <f t="shared" si="53"/>
        <v>-127.58061439770874</v>
      </c>
      <c r="P224" s="7">
        <f t="shared" si="54"/>
        <v>-60.034880110675253</v>
      </c>
      <c r="Q224" s="7"/>
      <c r="R224" s="7">
        <f t="shared" si="55"/>
        <v>-5.506392138704082</v>
      </c>
      <c r="S224" s="7">
        <f t="shared" si="56"/>
        <v>-3.1818486458657884</v>
      </c>
      <c r="T224" s="7">
        <f t="shared" si="57"/>
        <v>-3.1818486458657884</v>
      </c>
      <c r="U224" s="7">
        <f t="shared" si="58"/>
        <v>-6.1595694537160401</v>
      </c>
      <c r="V224" s="7">
        <f t="shared" si="59"/>
        <v>-6.1595694537160401</v>
      </c>
      <c r="W224" s="7">
        <f t="shared" si="60"/>
        <v>-1.9005509991093672</v>
      </c>
      <c r="X224" s="7">
        <f t="shared" si="61"/>
        <v>6.4461143299950345</v>
      </c>
      <c r="Y224" s="7">
        <f t="shared" si="62"/>
        <v>-1.1022698082405022</v>
      </c>
    </row>
    <row r="225" ht="14.25">
      <c r="A225">
        <v>-65</v>
      </c>
      <c r="B225">
        <f t="shared" si="44"/>
        <v>-19.5</v>
      </c>
      <c r="E225">
        <f t="shared" si="45"/>
        <v>-1.0334999999999999</v>
      </c>
      <c r="F225">
        <f t="shared" si="46"/>
        <v>-1.0334999999999999</v>
      </c>
      <c r="G225">
        <f t="shared" si="47"/>
        <v>2.1032211326551944</v>
      </c>
      <c r="H225">
        <f t="shared" si="48"/>
        <v>2.1032211326551944</v>
      </c>
      <c r="I225">
        <f t="shared" si="49"/>
        <v>-1.2343608678999169</v>
      </c>
      <c r="J225">
        <f t="shared" si="50"/>
        <v>2.4386852779827977</v>
      </c>
      <c r="K225" s="6">
        <f t="shared" si="51"/>
        <v>0.17766000000000001</v>
      </c>
      <c r="N225" s="6">
        <f t="shared" si="52"/>
        <v>-117</v>
      </c>
      <c r="O225" s="6">
        <f t="shared" si="53"/>
        <v>-125.63191991055987</v>
      </c>
      <c r="P225" s="7">
        <f t="shared" si="54"/>
        <v>-64.012660463276092</v>
      </c>
      <c r="Q225" s="7"/>
      <c r="R225" s="7">
        <f t="shared" si="55"/>
        <v>-5.4031113308851921</v>
      </c>
      <c r="S225" s="7">
        <f t="shared" si="56"/>
        <v>-3.3926710045536326</v>
      </c>
      <c r="T225" s="7">
        <f t="shared" si="57"/>
        <v>-3.3926710045536326</v>
      </c>
      <c r="U225" s="7">
        <f t="shared" si="58"/>
        <v>-6.0995667516521603</v>
      </c>
      <c r="V225" s="7">
        <f t="shared" si="59"/>
        <v>-6.0995667516521603</v>
      </c>
      <c r="W225" s="7">
        <f t="shared" si="60"/>
        <v>-2.1309441810952365</v>
      </c>
      <c r="X225" s="7">
        <f t="shared" si="61"/>
        <v>6.4610864148999072</v>
      </c>
      <c r="Y225" s="7">
        <f t="shared" si="62"/>
        <v>-1.0824350785995338</v>
      </c>
    </row>
    <row r="226" ht="14.25">
      <c r="A226">
        <v>-66</v>
      </c>
      <c r="B226">
        <f t="shared" si="44"/>
        <v>-19.800000000000001</v>
      </c>
      <c r="E226">
        <f t="shared" si="45"/>
        <v>-1.0494000000000001</v>
      </c>
      <c r="F226">
        <f t="shared" si="46"/>
        <v>-1.0494000000000001</v>
      </c>
      <c r="G226">
        <f t="shared" si="47"/>
        <v>2.0999571435518205</v>
      </c>
      <c r="H226">
        <f t="shared" si="48"/>
        <v>2.0999571435518205</v>
      </c>
      <c r="I226">
        <f t="shared" si="49"/>
        <v>-1.2502608678999172</v>
      </c>
      <c r="J226">
        <f t="shared" si="50"/>
        <v>2.4439664978383346</v>
      </c>
      <c r="K226" s="6">
        <f t="shared" si="51"/>
        <v>0.177624</v>
      </c>
      <c r="N226" s="6">
        <f t="shared" si="52"/>
        <v>-118.8</v>
      </c>
      <c r="O226" s="6">
        <f t="shared" si="53"/>
        <v>-123.55924188618475</v>
      </c>
      <c r="P226" s="7">
        <f t="shared" si="54"/>
        <v>-67.927268048341872</v>
      </c>
      <c r="Q226" s="7"/>
      <c r="R226" s="7">
        <f t="shared" si="55"/>
        <v>-5.2932593955933109</v>
      </c>
      <c r="S226" s="7">
        <f t="shared" si="56"/>
        <v>-3.6001452065621193</v>
      </c>
      <c r="T226" s="7">
        <f t="shared" si="57"/>
        <v>-3.6001452065621193</v>
      </c>
      <c r="U226" s="7">
        <f t="shared" si="58"/>
        <v>-6.0323056046990748</v>
      </c>
      <c r="V226" s="7">
        <f t="shared" si="59"/>
        <v>-6.0323056046990748</v>
      </c>
      <c r="W226" s="7">
        <f t="shared" si="60"/>
        <v>-2.3592343784463772</v>
      </c>
      <c r="X226" s="7">
        <f t="shared" si="61"/>
        <v>6.4772446117872633</v>
      </c>
      <c r="Y226" s="7">
        <f t="shared" si="62"/>
        <v>-1.0616749265149463</v>
      </c>
    </row>
    <row r="227" ht="14.25">
      <c r="A227">
        <v>-67</v>
      </c>
      <c r="B227">
        <f t="shared" si="44"/>
        <v>-20.100000000000001</v>
      </c>
      <c r="E227">
        <f t="shared" si="45"/>
        <v>-1.0653000000000001</v>
      </c>
      <c r="F227">
        <f t="shared" si="46"/>
        <v>-1.0653000000000001</v>
      </c>
      <c r="G227">
        <f t="shared" si="47"/>
        <v>2.0966931544484471</v>
      </c>
      <c r="H227">
        <f t="shared" si="48"/>
        <v>2.0966931544484471</v>
      </c>
      <c r="I227">
        <f t="shared" si="49"/>
        <v>-1.2661608678999172</v>
      </c>
      <c r="J227">
        <f t="shared" si="50"/>
        <v>2.4493438973145545</v>
      </c>
      <c r="K227" s="6">
        <f t="shared" si="51"/>
        <v>0.177588</v>
      </c>
      <c r="N227" s="6">
        <f t="shared" si="52"/>
        <v>-120.59999999999999</v>
      </c>
      <c r="O227" s="6">
        <f t="shared" si="53"/>
        <v>-121.36462580755608</v>
      </c>
      <c r="P227" s="7">
        <f t="shared" si="54"/>
        <v>-71.774839620802297</v>
      </c>
      <c r="Q227" s="7"/>
      <c r="R227" s="7">
        <f t="shared" si="55"/>
        <v>-5.1769447434259908</v>
      </c>
      <c r="S227" s="7">
        <f t="shared" si="56"/>
        <v>-3.8040664999025218</v>
      </c>
      <c r="T227" s="7">
        <f t="shared" si="57"/>
        <v>-3.8040664999025218</v>
      </c>
      <c r="U227" s="7">
        <f t="shared" si="58"/>
        <v>-5.9578523914882915</v>
      </c>
      <c r="V227" s="7">
        <f t="shared" si="59"/>
        <v>-5.9578523914882915</v>
      </c>
      <c r="W227" s="7">
        <f t="shared" si="60"/>
        <v>-2.5851962962998027</v>
      </c>
      <c r="X227" s="7">
        <f t="shared" si="61"/>
        <v>6.4945550278032886</v>
      </c>
      <c r="Y227" s="7">
        <f t="shared" si="62"/>
        <v>-1.0400160729501486</v>
      </c>
    </row>
    <row r="228" ht="14.25">
      <c r="A228">
        <v>-68</v>
      </c>
      <c r="B228">
        <f t="shared" ref="B228:B260" si="63">$B$27*A228/100</f>
        <v>-20.399999999999999</v>
      </c>
      <c r="E228">
        <f t="shared" ref="E228:E260" si="64">B228*$B$7</f>
        <v>-1.0811999999999999</v>
      </c>
      <c r="F228">
        <f t="shared" ref="F228:F260" si="65">E228</f>
        <v>-1.0811999999999999</v>
      </c>
      <c r="G228">
        <f t="shared" ref="G228:G260" si="66">$D$60+B228*$B$8*$B$14</f>
        <v>2.0934291653450732</v>
      </c>
      <c r="H228">
        <f t="shared" ref="H228:H260" si="67">G228</f>
        <v>2.0934291653450732</v>
      </c>
      <c r="I228">
        <f t="shared" ref="I228:I260" si="68">E228-$B$26*$B$14*$B$9</f>
        <v>-1.282060867899917</v>
      </c>
      <c r="J228">
        <f t="shared" ref="J228:J260" si="69">SQRT(I228*I228+H228*H228)</f>
        <v>2.4548168443526817</v>
      </c>
      <c r="K228" s="6">
        <f t="shared" ref="K228:K260" si="70">1.5*$B$13*($B$26*$B$6+$B$26*B228*($B$8-$B$9))</f>
        <v>0.17755199999999999</v>
      </c>
      <c r="N228" s="6">
        <f t="shared" ref="N228:N260" si="71">180*A228/100</f>
        <v>-122.40000000000001</v>
      </c>
      <c r="O228" s="6">
        <f t="shared" ref="O228:O260" si="72">$B$31*SIN(N228/180*PI())</f>
        <v>-119.05023749578412</v>
      </c>
      <c r="P228" s="7">
        <f t="shared" ref="P228:P260" si="73">$B$31*COS(N228/180*PI())</f>
        <v>-75.551578092038554</v>
      </c>
      <c r="Q228" s="7"/>
      <c r="R228" s="7">
        <f t="shared" ref="R228:R260" si="74">$Q$60+O228*$B$7</f>
        <v>-5.0542821629020773</v>
      </c>
      <c r="S228" s="7">
        <f t="shared" ref="S228:S260" si="75">P228*$B$7</f>
        <v>-4.0042336388780431</v>
      </c>
      <c r="T228" s="7">
        <f t="shared" ref="T228:T260" si="76">S228</f>
        <v>-4.0042336388780431</v>
      </c>
      <c r="U228" s="7">
        <f t="shared" ref="U228:U260" si="77">R228+P228*$B$8*$B$14</f>
        <v>-5.8762805883524019</v>
      </c>
      <c r="V228" s="7">
        <f t="shared" ref="V228:V260" si="78">U228</f>
        <v>-5.8762805883524019</v>
      </c>
      <c r="W228" s="7">
        <f t="shared" ref="W228:W260" si="79">S228-O228*$B$14*$B$9</f>
        <v>-2.8086069375233214</v>
      </c>
      <c r="X228" s="7">
        <f t="shared" ref="X228:X260" si="80">SQRT(W228*W228+V228*V228)</f>
        <v>6.5129829174159042</v>
      </c>
      <c r="Y228" s="7">
        <f t="shared" ref="Y228:Y260" si="81">1.5*$B$13*(O228*$B$6+O228*P228*($B$8-$B$9))</f>
        <v>-1.0174855375718264</v>
      </c>
    </row>
    <row r="229" ht="14.25">
      <c r="A229">
        <v>-69</v>
      </c>
      <c r="B229">
        <f t="shared" si="63"/>
        <v>-20.699999999999999</v>
      </c>
      <c r="E229">
        <f t="shared" si="64"/>
        <v>-1.0971</v>
      </c>
      <c r="F229">
        <f t="shared" si="65"/>
        <v>-1.0971</v>
      </c>
      <c r="G229">
        <f t="shared" si="66"/>
        <v>2.0901651762416997</v>
      </c>
      <c r="H229">
        <f t="shared" si="67"/>
        <v>2.0901651762416997</v>
      </c>
      <c r="I229">
        <f t="shared" si="68"/>
        <v>-1.297960867899917</v>
      </c>
      <c r="J229">
        <f t="shared" si="69"/>
        <v>2.460384701336968</v>
      </c>
      <c r="K229" s="6">
        <f t="shared" si="70"/>
        <v>0.17751599999999998</v>
      </c>
      <c r="N229" s="6">
        <f t="shared" si="71"/>
        <v>-124.2</v>
      </c>
      <c r="O229" s="6">
        <f t="shared" si="72"/>
        <v>-116.61836097271321</v>
      </c>
      <c r="P229" s="7">
        <f t="shared" si="73"/>
        <v>-79.25375627715043</v>
      </c>
      <c r="Q229" s="7"/>
      <c r="R229" s="7">
        <f t="shared" si="74"/>
        <v>-4.9253927071793182</v>
      </c>
      <c r="S229" s="7">
        <f t="shared" si="75"/>
        <v>-4.2004490826889729</v>
      </c>
      <c r="T229" s="7">
        <f t="shared" si="76"/>
        <v>-4.2004490826889729</v>
      </c>
      <c r="U229" s="7">
        <f t="shared" si="77"/>
        <v>-5.7876706968128184</v>
      </c>
      <c r="V229" s="7">
        <f t="shared" si="78"/>
        <v>-5.7876706968128184</v>
      </c>
      <c r="W229" s="7">
        <f t="shared" si="79"/>
        <v>-3.0292458227867236</v>
      </c>
      <c r="X229" s="7">
        <f t="shared" si="80"/>
        <v>6.5324928128254829</v>
      </c>
      <c r="Y229" s="7">
        <f t="shared" si="81"/>
        <v>-0.99411058980658584</v>
      </c>
    </row>
    <row r="230" ht="14.25">
      <c r="A230">
        <v>-70</v>
      </c>
      <c r="B230">
        <f t="shared" si="63"/>
        <v>-21</v>
      </c>
      <c r="E230">
        <f t="shared" si="64"/>
        <v>-1.113</v>
      </c>
      <c r="F230">
        <f t="shared" si="65"/>
        <v>-1.113</v>
      </c>
      <c r="G230">
        <f t="shared" si="66"/>
        <v>2.0869011871383258</v>
      </c>
      <c r="H230">
        <f t="shared" si="67"/>
        <v>2.0869011871383258</v>
      </c>
      <c r="I230">
        <f t="shared" si="68"/>
        <v>-1.3138608678999171</v>
      </c>
      <c r="J230">
        <f t="shared" si="69"/>
        <v>2.4660468254025667</v>
      </c>
      <c r="K230" s="6">
        <f t="shared" si="70"/>
        <v>0.17748</v>
      </c>
      <c r="N230" s="6">
        <f t="shared" si="71"/>
        <v>-126</v>
      </c>
      <c r="O230" s="6">
        <f t="shared" si="72"/>
        <v>-114.07139620686759</v>
      </c>
      <c r="P230" s="7">
        <f t="shared" si="73"/>
        <v>-82.87772057323869</v>
      </c>
      <c r="Q230" s="7"/>
      <c r="R230" s="7">
        <f t="shared" si="74"/>
        <v>-4.7904035745895008</v>
      </c>
      <c r="S230" s="7">
        <f t="shared" si="75"/>
        <v>-4.3925191903816501</v>
      </c>
      <c r="T230" s="7">
        <f t="shared" si="76"/>
        <v>-4.3925191903816501</v>
      </c>
      <c r="U230" s="7">
        <f t="shared" si="77"/>
        <v>-5.6921101641344922</v>
      </c>
      <c r="V230" s="7">
        <f t="shared" si="78"/>
        <v>-5.6921101641344922</v>
      </c>
      <c r="W230" s="7">
        <f t="shared" si="79"/>
        <v>-3.246895208148314</v>
      </c>
      <c r="X230" s="7">
        <f t="shared" si="80"/>
        <v>6.5530486503107603</v>
      </c>
      <c r="Y230" s="7">
        <f t="shared" si="81"/>
        <v>-0.96991870206041653</v>
      </c>
    </row>
    <row r="231" ht="14.25">
      <c r="A231">
        <v>-71</v>
      </c>
      <c r="B231">
        <f t="shared" si="63"/>
        <v>-21.300000000000001</v>
      </c>
      <c r="E231">
        <f t="shared" si="64"/>
        <v>-1.1289</v>
      </c>
      <c r="F231">
        <f t="shared" si="65"/>
        <v>-1.1289</v>
      </c>
      <c r="G231">
        <f t="shared" si="66"/>
        <v>2.0836371980349524</v>
      </c>
      <c r="H231">
        <f t="shared" si="67"/>
        <v>2.0836371980349524</v>
      </c>
      <c r="I231">
        <f t="shared" si="68"/>
        <v>-1.3297608678999171</v>
      </c>
      <c r="J231">
        <f t="shared" si="69"/>
        <v>2.4718025687406526</v>
      </c>
      <c r="K231" s="6">
        <f t="shared" si="70"/>
        <v>0.17744399999999999</v>
      </c>
      <c r="N231" s="6">
        <f t="shared" si="71"/>
        <v>-127.8</v>
      </c>
      <c r="O231" s="6">
        <f t="shared" si="72"/>
        <v>-111.41185674497237</v>
      </c>
      <c r="P231" s="7">
        <f t="shared" si="73"/>
        <v>-86.419894565069654</v>
      </c>
      <c r="Q231" s="7"/>
      <c r="R231" s="7">
        <f t="shared" si="74"/>
        <v>-4.6494479831090541</v>
      </c>
      <c r="S231" s="7">
        <f t="shared" si="75"/>
        <v>-4.5802544119486912</v>
      </c>
      <c r="T231" s="7">
        <f t="shared" si="76"/>
        <v>-4.5802544119486912</v>
      </c>
      <c r="U231" s="7">
        <f t="shared" si="77"/>
        <v>-5.5896932970260114</v>
      </c>
      <c r="V231" s="7">
        <f t="shared" si="78"/>
        <v>-5.5896932970260114</v>
      </c>
      <c r="W231" s="7">
        <f t="shared" si="79"/>
        <v>-3.4613402999418725</v>
      </c>
      <c r="X231" s="7">
        <f t="shared" si="80"/>
        <v>6.574613891843323</v>
      </c>
      <c r="Y231" s="7">
        <f t="shared" si="81"/>
        <v>-0.94493750522555642</v>
      </c>
    </row>
    <row r="232" ht="14.25">
      <c r="A232">
        <v>-72</v>
      </c>
      <c r="B232">
        <f t="shared" si="63"/>
        <v>-21.600000000000001</v>
      </c>
      <c r="E232">
        <f t="shared" si="64"/>
        <v>-1.1448</v>
      </c>
      <c r="F232">
        <f t="shared" si="65"/>
        <v>-1.1448</v>
      </c>
      <c r="G232">
        <f t="shared" si="66"/>
        <v>2.0803732089315785</v>
      </c>
      <c r="H232">
        <f t="shared" si="67"/>
        <v>2.0803732089315785</v>
      </c>
      <c r="I232">
        <f t="shared" si="68"/>
        <v>-1.3456608678999171</v>
      </c>
      <c r="J232">
        <f t="shared" si="69"/>
        <v>2.4776512789005301</v>
      </c>
      <c r="K232" s="6">
        <f t="shared" si="70"/>
        <v>0.17740800000000001</v>
      </c>
      <c r="N232" s="6">
        <f t="shared" si="71"/>
        <v>-129.59999999999999</v>
      </c>
      <c r="O232" s="6">
        <f t="shared" si="72"/>
        <v>-108.64236723138629</v>
      </c>
      <c r="P232" s="7">
        <f t="shared" si="73"/>
        <v>-89.876782554565253</v>
      </c>
      <c r="Q232" s="7"/>
      <c r="R232" s="7">
        <f t="shared" si="74"/>
        <v>-4.5026650388889919</v>
      </c>
      <c r="S232" s="7">
        <f t="shared" si="75"/>
        <v>-4.7634694753919584</v>
      </c>
      <c r="T232" s="7">
        <f t="shared" si="76"/>
        <v>-4.7634694753919584</v>
      </c>
      <c r="U232" s="7">
        <f t="shared" si="77"/>
        <v>-5.4805211685702719</v>
      </c>
      <c r="V232" s="7">
        <f t="shared" si="78"/>
        <v>-5.4805211685702719</v>
      </c>
      <c r="W232" s="7">
        <f t="shared" si="79"/>
        <v>-3.6723694667520705</v>
      </c>
      <c r="X232" s="7">
        <f t="shared" si="80"/>
        <v>6.5971516413888613</v>
      </c>
      <c r="Y232" s="7">
        <f t="shared" si="81"/>
        <v>-0.91919474658726552</v>
      </c>
    </row>
    <row r="233" ht="14.25">
      <c r="A233">
        <v>-73</v>
      </c>
      <c r="B233">
        <f t="shared" si="63"/>
        <v>-21.899999999999999</v>
      </c>
      <c r="E233">
        <f t="shared" si="64"/>
        <v>-1.1606999999999998</v>
      </c>
      <c r="F233">
        <f t="shared" si="65"/>
        <v>-1.1606999999999998</v>
      </c>
      <c r="G233">
        <f t="shared" si="66"/>
        <v>2.0771092198282051</v>
      </c>
      <c r="H233">
        <f t="shared" si="67"/>
        <v>2.0771092198282051</v>
      </c>
      <c r="I233">
        <f t="shared" si="68"/>
        <v>-1.3615608678999169</v>
      </c>
      <c r="J233">
        <f t="shared" si="69"/>
        <v>2.4835922990885018</v>
      </c>
      <c r="K233" s="6">
        <f t="shared" si="70"/>
        <v>0.17737199999999997</v>
      </c>
      <c r="N233" s="6">
        <f t="shared" si="71"/>
        <v>-131.40000000000001</v>
      </c>
      <c r="O233" s="6">
        <f t="shared" si="72"/>
        <v>-105.7656608178948</v>
      </c>
      <c r="P233" s="7">
        <f t="shared" si="73"/>
        <v>-93.244973010634894</v>
      </c>
      <c r="Q233" s="7"/>
      <c r="R233" s="7">
        <f t="shared" si="74"/>
        <v>-4.3501995989739433</v>
      </c>
      <c r="S233" s="7">
        <f t="shared" si="75"/>
        <v>-4.9419835695636491</v>
      </c>
      <c r="T233" s="7">
        <f t="shared" si="76"/>
        <v>-4.9419835695636491</v>
      </c>
      <c r="U233" s="7">
        <f t="shared" si="77"/>
        <v>-5.3647015184775517</v>
      </c>
      <c r="V233" s="7">
        <f t="shared" si="78"/>
        <v>-5.3647015184775517</v>
      </c>
      <c r="W233" s="7">
        <f t="shared" si="79"/>
        <v>-3.8797744482691194</v>
      </c>
      <c r="X233" s="7">
        <f t="shared" si="80"/>
        <v>6.6206247553986399</v>
      </c>
      <c r="Y233" s="7">
        <f t="shared" si="81"/>
        <v>-0.89271825023055373</v>
      </c>
    </row>
    <row r="234" ht="14.25">
      <c r="A234">
        <v>-74</v>
      </c>
      <c r="B234">
        <f t="shared" si="63"/>
        <v>-22.199999999999999</v>
      </c>
      <c r="E234">
        <f t="shared" si="64"/>
        <v>-1.1765999999999999</v>
      </c>
      <c r="F234">
        <f t="shared" si="65"/>
        <v>-1.1765999999999999</v>
      </c>
      <c r="G234">
        <f t="shared" si="66"/>
        <v>2.0738452307248312</v>
      </c>
      <c r="H234">
        <f t="shared" si="67"/>
        <v>2.0738452307248312</v>
      </c>
      <c r="I234">
        <f t="shared" si="68"/>
        <v>-1.377460867899917</v>
      </c>
      <c r="J234">
        <f t="shared" si="69"/>
        <v>2.4896249684632665</v>
      </c>
      <c r="K234" s="6">
        <f t="shared" si="70"/>
        <v>0.17733599999999999</v>
      </c>
      <c r="N234" s="6">
        <f t="shared" si="71"/>
        <v>-133.19999999999999</v>
      </c>
      <c r="O234" s="6">
        <f t="shared" si="72"/>
        <v>-102.78457646641901</v>
      </c>
      <c r="P234" s="7">
        <f t="shared" si="73"/>
        <v>-96.52114193594511</v>
      </c>
      <c r="Q234" s="7"/>
      <c r="R234" s="7">
        <f t="shared" si="74"/>
        <v>-4.192202128345726</v>
      </c>
      <c r="S234" s="7">
        <f t="shared" si="75"/>
        <v>-5.1156205226050906</v>
      </c>
      <c r="T234" s="7">
        <f t="shared" si="76"/>
        <v>-5.1156205226050906</v>
      </c>
      <c r="U234" s="7">
        <f t="shared" si="77"/>
        <v>-5.2423486467594138</v>
      </c>
      <c r="V234" s="7">
        <f t="shared" si="78"/>
        <v>-5.2423486467594138</v>
      </c>
      <c r="W234" s="7">
        <f t="shared" si="79"/>
        <v>-4.0833505608165748</v>
      </c>
      <c r="X234" s="7">
        <f t="shared" si="80"/>
        <v>6.6449959470793729</v>
      </c>
      <c r="Y234" s="7">
        <f t="shared" si="81"/>
        <v>-0.86553588003412374</v>
      </c>
    </row>
    <row r="235" ht="14.25">
      <c r="A235">
        <v>-75</v>
      </c>
      <c r="B235">
        <f t="shared" si="63"/>
        <v>-22.5</v>
      </c>
      <c r="E235">
        <f t="shared" si="64"/>
        <v>-1.1924999999999999</v>
      </c>
      <c r="F235">
        <f t="shared" si="65"/>
        <v>-1.1924999999999999</v>
      </c>
      <c r="G235">
        <f t="shared" si="66"/>
        <v>2.0705812416214577</v>
      </c>
      <c r="H235">
        <f t="shared" si="67"/>
        <v>2.0705812416214577</v>
      </c>
      <c r="I235">
        <f t="shared" si="68"/>
        <v>-1.393360867899917</v>
      </c>
      <c r="J235">
        <f t="shared" si="69"/>
        <v>2.4957486224276408</v>
      </c>
      <c r="K235" s="6">
        <f t="shared" si="70"/>
        <v>0.17730000000000001</v>
      </c>
      <c r="N235" s="6">
        <f t="shared" si="71"/>
        <v>-135</v>
      </c>
      <c r="O235" s="6">
        <f t="shared" si="72"/>
        <v>-99.70205614730321</v>
      </c>
      <c r="P235" s="7">
        <f t="shared" si="73"/>
        <v>-99.702056147303196</v>
      </c>
      <c r="Q235" s="7"/>
      <c r="R235" s="7">
        <f t="shared" si="74"/>
        <v>-4.0288285514325892</v>
      </c>
      <c r="S235" s="7">
        <f t="shared" si="75"/>
        <v>-5.2842089758070694</v>
      </c>
      <c r="T235" s="7">
        <f t="shared" si="76"/>
        <v>-5.2842089758070694</v>
      </c>
      <c r="U235" s="7">
        <f t="shared" si="77"/>
        <v>-5.1135833009284077</v>
      </c>
      <c r="V235" s="7">
        <f t="shared" si="78"/>
        <v>-5.1135833009284077</v>
      </c>
      <c r="W235" s="7">
        <f t="shared" si="79"/>
        <v>-4.2828968993493906</v>
      </c>
      <c r="X235" s="7">
        <f t="shared" si="80"/>
        <v>6.6702278841123936</v>
      </c>
      <c r="Y235" s="7">
        <f t="shared" si="81"/>
        <v>-0.83767550532572899</v>
      </c>
    </row>
    <row r="236" ht="14.25">
      <c r="A236">
        <v>-76</v>
      </c>
      <c r="B236">
        <f t="shared" si="63"/>
        <v>-22.800000000000001</v>
      </c>
      <c r="E236">
        <f t="shared" si="64"/>
        <v>-1.2083999999999999</v>
      </c>
      <c r="F236">
        <f t="shared" si="65"/>
        <v>-1.2083999999999999</v>
      </c>
      <c r="G236">
        <f t="shared" si="66"/>
        <v>2.0673172525180838</v>
      </c>
      <c r="H236">
        <f t="shared" si="67"/>
        <v>2.0673172525180838</v>
      </c>
      <c r="I236">
        <f t="shared" si="68"/>
        <v>-1.409260867899917</v>
      </c>
      <c r="J236">
        <f t="shared" si="69"/>
        <v>2.501962592916398</v>
      </c>
      <c r="K236" s="6">
        <f t="shared" si="70"/>
        <v>0.177264</v>
      </c>
      <c r="N236" s="6">
        <f t="shared" si="71"/>
        <v>-136.80000000000001</v>
      </c>
      <c r="O236" s="6">
        <f t="shared" si="72"/>
        <v>-96.521141935945124</v>
      </c>
      <c r="P236" s="7">
        <f t="shared" si="73"/>
        <v>-102.784576466419</v>
      </c>
      <c r="Q236" s="7"/>
      <c r="R236" s="7">
        <f t="shared" si="74"/>
        <v>-3.8602400982306104</v>
      </c>
      <c r="S236" s="7">
        <f t="shared" si="75"/>
        <v>-5.4475825527202071</v>
      </c>
      <c r="T236" s="7">
        <f t="shared" si="76"/>
        <v>-5.4475825527202071</v>
      </c>
      <c r="U236" s="7">
        <f t="shared" si="77"/>
        <v>-4.9785325568348355</v>
      </c>
      <c r="V236" s="7">
        <f t="shared" si="78"/>
        <v>-4.9785325568348355</v>
      </c>
      <c r="W236" s="7">
        <f t="shared" si="79"/>
        <v>-4.4782165357229564</v>
      </c>
      <c r="X236" s="7">
        <f t="shared" si="80"/>
        <v>6.6962832795728504</v>
      </c>
      <c r="Y236" s="7">
        <f t="shared" si="81"/>
        <v>-0.80916496925985881</v>
      </c>
    </row>
    <row r="237" ht="14.25">
      <c r="A237">
        <v>-77</v>
      </c>
      <c r="B237">
        <f t="shared" si="63"/>
        <v>-23.100000000000001</v>
      </c>
      <c r="E237">
        <f t="shared" si="64"/>
        <v>-1.2242999999999999</v>
      </c>
      <c r="F237">
        <f t="shared" si="65"/>
        <v>-1.2242999999999999</v>
      </c>
      <c r="G237">
        <f t="shared" si="66"/>
        <v>2.0640532634147104</v>
      </c>
      <c r="H237">
        <f t="shared" si="67"/>
        <v>2.0640532634147104</v>
      </c>
      <c r="I237">
        <f t="shared" si="68"/>
        <v>-1.425160867899917</v>
      </c>
      <c r="J237">
        <f t="shared" si="69"/>
        <v>2.5082662086800438</v>
      </c>
      <c r="K237" s="6">
        <f t="shared" si="70"/>
        <v>0.177228</v>
      </c>
      <c r="N237" s="6">
        <f t="shared" si="71"/>
        <v>-138.59999999999999</v>
      </c>
      <c r="O237" s="6">
        <f t="shared" si="72"/>
        <v>-93.244973010634908</v>
      </c>
      <c r="P237" s="7">
        <f t="shared" si="73"/>
        <v>-105.76566081789478</v>
      </c>
      <c r="Q237" s="7"/>
      <c r="R237" s="7">
        <f t="shared" si="74"/>
        <v>-3.686603145189169</v>
      </c>
      <c r="S237" s="7">
        <f t="shared" si="75"/>
        <v>-5.6055800233484234</v>
      </c>
      <c r="T237" s="7">
        <f t="shared" si="76"/>
        <v>-5.6055800233484234</v>
      </c>
      <c r="U237" s="7">
        <f t="shared" si="77"/>
        <v>-4.8373296932582424</v>
      </c>
      <c r="V237" s="7">
        <f t="shared" si="78"/>
        <v>-4.8373296932582424</v>
      </c>
      <c r="W237" s="7">
        <f t="shared" si="79"/>
        <v>-4.6691167130374005</v>
      </c>
      <c r="X237" s="7">
        <f t="shared" si="80"/>
        <v>6.7231249758756579</v>
      </c>
      <c r="Y237" s="7">
        <f t="shared" si="81"/>
        <v>-0.78003205996521485</v>
      </c>
    </row>
    <row r="238" ht="14.25">
      <c r="A238">
        <v>-78</v>
      </c>
      <c r="B238">
        <f t="shared" si="63"/>
        <v>-23.399999999999999</v>
      </c>
      <c r="E238">
        <f t="shared" si="64"/>
        <v>-1.2402</v>
      </c>
      <c r="F238">
        <f t="shared" si="65"/>
        <v>-1.2402</v>
      </c>
      <c r="G238">
        <f t="shared" si="66"/>
        <v>2.060789274311337</v>
      </c>
      <c r="H238">
        <f t="shared" si="67"/>
        <v>2.060789274311337</v>
      </c>
      <c r="I238">
        <f t="shared" si="68"/>
        <v>-1.4410608678999171</v>
      </c>
      <c r="J238">
        <f t="shared" si="69"/>
        <v>2.5146587955643422</v>
      </c>
      <c r="K238" s="6">
        <f t="shared" si="70"/>
        <v>0.17719199999999999</v>
      </c>
      <c r="N238" s="6">
        <f t="shared" si="71"/>
        <v>-140.40000000000001</v>
      </c>
      <c r="O238" s="6">
        <f t="shared" si="72"/>
        <v>-89.876782554565267</v>
      </c>
      <c r="P238" s="7">
        <f t="shared" si="73"/>
        <v>-108.64236723138627</v>
      </c>
      <c r="Q238" s="7"/>
      <c r="R238" s="7">
        <f t="shared" si="74"/>
        <v>-3.5080890510174783</v>
      </c>
      <c r="S238" s="7">
        <f t="shared" si="75"/>
        <v>-5.7580454632634721</v>
      </c>
      <c r="T238" s="7">
        <f t="shared" si="76"/>
        <v>-5.7580454632634721</v>
      </c>
      <c r="U238" s="7">
        <f t="shared" si="77"/>
        <v>-4.6901140603773559</v>
      </c>
      <c r="V238" s="7">
        <f t="shared" si="78"/>
        <v>-4.6901140603773559</v>
      </c>
      <c r="W238" s="7">
        <f t="shared" si="79"/>
        <v>-4.8554090358653674</v>
      </c>
      <c r="X238" s="7">
        <f t="shared" si="80"/>
        <v>6.750716021646328</v>
      </c>
      <c r="Y238" s="7">
        <f t="shared" si="81"/>
        <v>-0.75030448449587628</v>
      </c>
    </row>
    <row r="239" ht="14.25">
      <c r="A239">
        <v>-79</v>
      </c>
      <c r="B239">
        <f t="shared" si="63"/>
        <v>-23.699999999999999</v>
      </c>
      <c r="E239">
        <f t="shared" si="64"/>
        <v>-1.2561</v>
      </c>
      <c r="F239">
        <f t="shared" si="65"/>
        <v>-1.2561</v>
      </c>
      <c r="G239">
        <f t="shared" si="66"/>
        <v>2.0575252852079631</v>
      </c>
      <c r="H239">
        <f t="shared" si="67"/>
        <v>2.0575252852079631</v>
      </c>
      <c r="I239">
        <f t="shared" si="68"/>
        <v>-1.4569608678999171</v>
      </c>
      <c r="J239">
        <f t="shared" si="69"/>
        <v>2.5211396767854395</v>
      </c>
      <c r="K239" s="6">
        <f t="shared" si="70"/>
        <v>0.17715600000000001</v>
      </c>
      <c r="N239" s="6">
        <f t="shared" si="71"/>
        <v>-142.19999999999999</v>
      </c>
      <c r="O239" s="6">
        <f t="shared" si="72"/>
        <v>-86.419894565069725</v>
      </c>
      <c r="P239" s="7">
        <f t="shared" si="73"/>
        <v>-111.41185674497231</v>
      </c>
      <c r="Q239" s="7"/>
      <c r="R239" s="7">
        <f t="shared" si="74"/>
        <v>-3.3248739875742146</v>
      </c>
      <c r="S239" s="7">
        <f t="shared" si="75"/>
        <v>-5.9048284074835324</v>
      </c>
      <c r="T239" s="7">
        <f t="shared" si="76"/>
        <v>-5.9048284074835324</v>
      </c>
      <c r="U239" s="7">
        <f t="shared" si="77"/>
        <v>-4.5370309422482675</v>
      </c>
      <c r="V239" s="7">
        <f t="shared" si="78"/>
        <v>-4.5370309422482675</v>
      </c>
      <c r="W239" s="7">
        <f t="shared" si="79"/>
        <v>-5.0369096561755713</v>
      </c>
      <c r="X239" s="7">
        <f t="shared" si="80"/>
        <v>6.7790197414812798</v>
      </c>
      <c r="Y239" s="7">
        <f t="shared" si="81"/>
        <v>-0.72000984560643266</v>
      </c>
    </row>
    <row r="240" ht="14.25">
      <c r="A240">
        <v>-80</v>
      </c>
      <c r="B240">
        <f t="shared" si="63"/>
        <v>-24</v>
      </c>
      <c r="E240">
        <f t="shared" si="64"/>
        <v>-1.272</v>
      </c>
      <c r="F240">
        <f t="shared" si="65"/>
        <v>-1.272</v>
      </c>
      <c r="G240">
        <f t="shared" si="66"/>
        <v>2.0542612961045896</v>
      </c>
      <c r="H240">
        <f t="shared" si="67"/>
        <v>2.0542612961045896</v>
      </c>
      <c r="I240">
        <f t="shared" si="68"/>
        <v>-1.4728608678999171</v>
      </c>
      <c r="J240">
        <f t="shared" si="69"/>
        <v>2.5277081732004203</v>
      </c>
      <c r="K240" s="6">
        <f t="shared" si="70"/>
        <v>0.17712</v>
      </c>
      <c r="N240" s="6">
        <f t="shared" si="71"/>
        <v>-144</v>
      </c>
      <c r="O240" s="6">
        <f t="shared" si="72"/>
        <v>-82.877720573238733</v>
      </c>
      <c r="P240" s="7">
        <f t="shared" si="73"/>
        <v>-114.07139620686758</v>
      </c>
      <c r="Q240" s="7"/>
      <c r="R240" s="7">
        <f t="shared" si="74"/>
        <v>-3.1371387660071717</v>
      </c>
      <c r="S240" s="7">
        <f t="shared" si="75"/>
        <v>-6.045783998963981</v>
      </c>
      <c r="T240" s="7">
        <f t="shared" si="76"/>
        <v>-6.045783998963981</v>
      </c>
      <c r="U240" s="7">
        <f t="shared" si="77"/>
        <v>-4.3782314134266187</v>
      </c>
      <c r="V240" s="7">
        <f t="shared" si="78"/>
        <v>-4.3782314134266187</v>
      </c>
      <c r="W240" s="7">
        <f t="shared" si="79"/>
        <v>-5.2134394547686043</v>
      </c>
      <c r="X240" s="7">
        <f t="shared" si="80"/>
        <v>6.8079997986232055</v>
      </c>
      <c r="Y240" s="7">
        <f t="shared" si="81"/>
        <v>-0.68917562135775678</v>
      </c>
    </row>
    <row r="241" ht="14.25">
      <c r="A241">
        <v>-81</v>
      </c>
      <c r="B241">
        <f t="shared" si="63"/>
        <v>-24.300000000000001</v>
      </c>
      <c r="E241">
        <f t="shared" si="64"/>
        <v>-1.2879</v>
      </c>
      <c r="F241">
        <f t="shared" si="65"/>
        <v>-1.2879</v>
      </c>
      <c r="G241">
        <f t="shared" si="66"/>
        <v>2.0509973070012157</v>
      </c>
      <c r="H241">
        <f t="shared" si="67"/>
        <v>2.0509973070012157</v>
      </c>
      <c r="I241">
        <f t="shared" si="68"/>
        <v>-1.4887608678999171</v>
      </c>
      <c r="J241">
        <f t="shared" si="69"/>
        <v>2.5343636035731643</v>
      </c>
      <c r="K241" s="6">
        <f t="shared" si="70"/>
        <v>0.17708399999999999</v>
      </c>
      <c r="N241" s="6">
        <f t="shared" si="71"/>
        <v>-145.80000000000001</v>
      </c>
      <c r="O241" s="6">
        <f t="shared" si="72"/>
        <v>-79.253756277150401</v>
      </c>
      <c r="P241" s="7">
        <f t="shared" si="73"/>
        <v>-116.61836097271323</v>
      </c>
      <c r="Q241" s="7"/>
      <c r="R241" s="7">
        <f t="shared" si="74"/>
        <v>-2.9450686583144901</v>
      </c>
      <c r="S241" s="7">
        <f t="shared" si="75"/>
        <v>-6.180773131553801</v>
      </c>
      <c r="T241" s="7">
        <f t="shared" si="76"/>
        <v>-6.180773131553801</v>
      </c>
      <c r="U241" s="7">
        <f t="shared" si="77"/>
        <v>-4.2138721898752607</v>
      </c>
      <c r="V241" s="7">
        <f t="shared" si="78"/>
        <v>-4.2138721898752607</v>
      </c>
      <c r="W241" s="7">
        <f t="shared" si="79"/>
        <v>-5.3848242180459547</v>
      </c>
      <c r="X241" s="7">
        <f t="shared" si="80"/>
        <v>6.8376202506324049</v>
      </c>
      <c r="Y241" s="7">
        <f t="shared" si="81"/>
        <v>-0.65782914754652078</v>
      </c>
    </row>
    <row r="242" ht="14.25">
      <c r="A242">
        <v>-82</v>
      </c>
      <c r="B242">
        <f t="shared" si="63"/>
        <v>-24.600000000000001</v>
      </c>
      <c r="E242">
        <f t="shared" si="64"/>
        <v>-1.3038000000000001</v>
      </c>
      <c r="F242">
        <f t="shared" si="65"/>
        <v>-1.3038000000000001</v>
      </c>
      <c r="G242">
        <f t="shared" si="66"/>
        <v>2.0477333178978423</v>
      </c>
      <c r="H242">
        <f t="shared" si="67"/>
        <v>2.0477333178978423</v>
      </c>
      <c r="I242">
        <f t="shared" si="68"/>
        <v>-1.5046608678999172</v>
      </c>
      <c r="J242">
        <f t="shared" si="69"/>
        <v>2.5411052848353681</v>
      </c>
      <c r="K242" s="6">
        <f t="shared" si="70"/>
        <v>0.17704799999999998</v>
      </c>
      <c r="N242" s="6">
        <f t="shared" si="71"/>
        <v>-147.59999999999999</v>
      </c>
      <c r="O242" s="6">
        <f t="shared" si="72"/>
        <v>-75.551578092038582</v>
      </c>
      <c r="P242" s="7">
        <f t="shared" si="73"/>
        <v>-119.05023749578409</v>
      </c>
      <c r="Q242" s="7"/>
      <c r="R242" s="7">
        <f t="shared" si="74"/>
        <v>-2.7488532145035638</v>
      </c>
      <c r="S242" s="7">
        <f t="shared" si="75"/>
        <v>-6.3096625872765566</v>
      </c>
      <c r="T242" s="7">
        <f t="shared" si="76"/>
        <v>-6.3096625872765566</v>
      </c>
      <c r="U242" s="7">
        <f t="shared" si="77"/>
        <v>-4.0441154743045118</v>
      </c>
      <c r="V242" s="7">
        <f t="shared" si="78"/>
        <v>-4.0441154743045118</v>
      </c>
      <c r="W242" s="7">
        <f t="shared" si="79"/>
        <v>-5.5508948099377955</v>
      </c>
      <c r="X242" s="7">
        <f t="shared" si="80"/>
        <v>6.8678455981845987</v>
      </c>
      <c r="Y242" s="7">
        <f t="shared" si="81"/>
        <v>-0.62599760293811646</v>
      </c>
    </row>
    <row r="243" ht="14.25">
      <c r="A243">
        <v>-83</v>
      </c>
      <c r="B243">
        <f t="shared" si="63"/>
        <v>-24.899999999999999</v>
      </c>
      <c r="E243">
        <f t="shared" si="64"/>
        <v>-1.3196999999999999</v>
      </c>
      <c r="F243">
        <f t="shared" si="65"/>
        <v>-1.3196999999999999</v>
      </c>
      <c r="G243">
        <f t="shared" si="66"/>
        <v>2.0444693287944684</v>
      </c>
      <c r="H243">
        <f t="shared" si="67"/>
        <v>2.0444693287944684</v>
      </c>
      <c r="I243">
        <f t="shared" si="68"/>
        <v>-1.520560867899917</v>
      </c>
      <c r="J243">
        <f t="shared" si="69"/>
        <v>2.5479325323426156</v>
      </c>
      <c r="K243" s="6">
        <f t="shared" si="70"/>
        <v>0.177012</v>
      </c>
      <c r="N243" s="6">
        <f t="shared" si="71"/>
        <v>-149.40000000000001</v>
      </c>
      <c r="O243" s="6">
        <f t="shared" si="72"/>
        <v>-71.774839620802325</v>
      </c>
      <c r="P243" s="7">
        <f t="shared" si="73"/>
        <v>-121.36462580755607</v>
      </c>
      <c r="Q243" s="7"/>
      <c r="R243" s="7">
        <f t="shared" si="74"/>
        <v>-2.5486860755280416</v>
      </c>
      <c r="S243" s="7">
        <f t="shared" si="75"/>
        <v>-6.4323251678004709</v>
      </c>
      <c r="T243" s="7">
        <f t="shared" si="76"/>
        <v>-6.4323251678004709</v>
      </c>
      <c r="U243" s="7">
        <f t="shared" si="77"/>
        <v>-3.8691287960976535</v>
      </c>
      <c r="V243" s="7">
        <f t="shared" si="78"/>
        <v>-3.8691287960976535</v>
      </c>
      <c r="W243" s="7">
        <f t="shared" si="79"/>
        <v>-5.7114873388198859</v>
      </c>
      <c r="X243" s="7">
        <f t="shared" si="80"/>
        <v>6.8986408271696487</v>
      </c>
      <c r="Y243" s="7">
        <f t="shared" si="81"/>
        <v>-0.59370799726936485</v>
      </c>
    </row>
    <row r="244" ht="14.25">
      <c r="A244">
        <v>-84</v>
      </c>
      <c r="B244">
        <f t="shared" si="63"/>
        <v>-25.199999999999999</v>
      </c>
      <c r="E244">
        <f t="shared" si="64"/>
        <v>-1.3355999999999999</v>
      </c>
      <c r="F244">
        <f t="shared" si="65"/>
        <v>-1.3355999999999999</v>
      </c>
      <c r="G244">
        <f t="shared" si="66"/>
        <v>2.041205339691095</v>
      </c>
      <c r="H244">
        <f t="shared" si="67"/>
        <v>2.041205339691095</v>
      </c>
      <c r="I244">
        <f t="shared" si="68"/>
        <v>-1.536460867899917</v>
      </c>
      <c r="J244">
        <f t="shared" si="69"/>
        <v>2.5548446601253869</v>
      </c>
      <c r="K244" s="6">
        <f t="shared" si="70"/>
        <v>0.17697599999999999</v>
      </c>
      <c r="N244" s="6">
        <f t="shared" si="71"/>
        <v>-151.19999999999999</v>
      </c>
      <c r="O244" s="6">
        <f t="shared" si="72"/>
        <v>-67.927268048341901</v>
      </c>
      <c r="P244" s="7">
        <f t="shared" si="73"/>
        <v>-123.55924188618475</v>
      </c>
      <c r="Q244" s="7"/>
      <c r="R244" s="7">
        <f t="shared" si="74"/>
        <v>-2.3447647821876396</v>
      </c>
      <c r="S244" s="7">
        <f t="shared" si="75"/>
        <v>-6.548639819967792</v>
      </c>
      <c r="T244" s="7">
        <f t="shared" si="76"/>
        <v>-6.548639819967792</v>
      </c>
      <c r="U244" s="7">
        <f t="shared" si="77"/>
        <v>-3.6890848459796937</v>
      </c>
      <c r="V244" s="7">
        <f t="shared" si="78"/>
        <v>-3.6890848459796937</v>
      </c>
      <c r="W244" s="7">
        <f t="shared" si="79"/>
        <v>-5.8664433192547794</v>
      </c>
      <c r="X244" s="7">
        <f t="shared" si="80"/>
        <v>6.9299714443037965</v>
      </c>
      <c r="Y244" s="7">
        <f t="shared" si="81"/>
        <v>-0.56098716197436049</v>
      </c>
    </row>
    <row r="245" ht="14.25">
      <c r="A245">
        <v>-85</v>
      </c>
      <c r="B245">
        <f t="shared" si="63"/>
        <v>-25.5</v>
      </c>
      <c r="E245">
        <f t="shared" si="64"/>
        <v>-1.3514999999999999</v>
      </c>
      <c r="F245">
        <f t="shared" si="65"/>
        <v>-1.3514999999999999</v>
      </c>
      <c r="G245">
        <f t="shared" si="66"/>
        <v>2.0379413505877211</v>
      </c>
      <c r="H245">
        <f t="shared" si="67"/>
        <v>2.0379413505877211</v>
      </c>
      <c r="I245">
        <f t="shared" si="68"/>
        <v>-1.552360867899917</v>
      </c>
      <c r="J245">
        <f t="shared" si="69"/>
        <v>2.5618409811349121</v>
      </c>
      <c r="K245" s="6">
        <f t="shared" si="70"/>
        <v>0.17693999999999999</v>
      </c>
      <c r="N245" s="6">
        <f t="shared" si="71"/>
        <v>-153</v>
      </c>
      <c r="O245" s="6">
        <f t="shared" si="72"/>
        <v>-64.012660463276106</v>
      </c>
      <c r="P245" s="7">
        <f t="shared" si="73"/>
        <v>-125.63191991055986</v>
      </c>
      <c r="Q245" s="7"/>
      <c r="R245" s="7">
        <f t="shared" si="74"/>
        <v>-2.137290580179152</v>
      </c>
      <c r="S245" s="7">
        <f t="shared" si="75"/>
        <v>-6.6584917552596723</v>
      </c>
      <c r="T245" s="7">
        <f t="shared" si="76"/>
        <v>-6.6584917552596723</v>
      </c>
      <c r="U245" s="7">
        <f t="shared" si="77"/>
        <v>-3.5041613055924139</v>
      </c>
      <c r="V245" s="7">
        <f t="shared" si="78"/>
        <v>-3.5041613055924139</v>
      </c>
      <c r="W245" s="7">
        <f t="shared" si="79"/>
        <v>-6.0156098283978547</v>
      </c>
      <c r="X245" s="7">
        <f t="shared" si="80"/>
        <v>6.9618035065008836</v>
      </c>
      <c r="Y245" s="7">
        <f t="shared" si="81"/>
        <v>-0.52786174357398008</v>
      </c>
    </row>
    <row r="246" ht="14.25">
      <c r="A246">
        <v>-86</v>
      </c>
      <c r="B246">
        <f t="shared" si="63"/>
        <v>-25.800000000000001</v>
      </c>
      <c r="E246">
        <f t="shared" si="64"/>
        <v>-1.3673999999999999</v>
      </c>
      <c r="F246">
        <f t="shared" si="65"/>
        <v>-1.3673999999999999</v>
      </c>
      <c r="G246">
        <f t="shared" si="66"/>
        <v>2.0346773614843476</v>
      </c>
      <c r="H246">
        <f t="shared" si="67"/>
        <v>2.0346773614843476</v>
      </c>
      <c r="I246">
        <f t="shared" si="68"/>
        <v>-1.568260867899917</v>
      </c>
      <c r="J246">
        <f t="shared" si="69"/>
        <v>2.5689208074837784</v>
      </c>
      <c r="K246" s="6">
        <f t="shared" si="70"/>
        <v>0.17690400000000001</v>
      </c>
      <c r="N246" s="6">
        <f t="shared" si="71"/>
        <v>-154.80000000000001</v>
      </c>
      <c r="O246" s="6">
        <f t="shared" si="72"/>
        <v>-60.034880110675225</v>
      </c>
      <c r="P246" s="7">
        <f t="shared" si="73"/>
        <v>-127.58061439770876</v>
      </c>
      <c r="Q246" s="7"/>
      <c r="R246" s="7">
        <f t="shared" si="74"/>
        <v>-1.9264682214913054</v>
      </c>
      <c r="S246" s="7">
        <f t="shared" si="75"/>
        <v>-6.7617725630785639</v>
      </c>
      <c r="T246" s="7">
        <f t="shared" si="76"/>
        <v>-6.7617725630785639</v>
      </c>
      <c r="U246" s="7">
        <f t="shared" si="77"/>
        <v>-3.3145406721440951</v>
      </c>
      <c r="V246" s="7">
        <f t="shared" si="78"/>
        <v>-3.3145406721440951</v>
      </c>
      <c r="W246" s="7">
        <f t="shared" si="79"/>
        <v>-6.1588396569136794</v>
      </c>
      <c r="X246" s="7">
        <f t="shared" si="80"/>
        <v>6.9941036442756577</v>
      </c>
      <c r="Y246" s="7">
        <f t="shared" si="81"/>
        <v>-0.49435819965720063</v>
      </c>
    </row>
    <row r="247" ht="14.25">
      <c r="A247">
        <v>-87</v>
      </c>
      <c r="B247">
        <f t="shared" si="63"/>
        <v>-26.100000000000001</v>
      </c>
      <c r="E247">
        <f t="shared" si="64"/>
        <v>-1.3833</v>
      </c>
      <c r="F247">
        <f t="shared" si="65"/>
        <v>-1.3833</v>
      </c>
      <c r="G247">
        <f t="shared" si="66"/>
        <v>2.0314133723809737</v>
      </c>
      <c r="H247">
        <f t="shared" si="67"/>
        <v>2.0314133723809737</v>
      </c>
      <c r="I247">
        <f t="shared" si="68"/>
        <v>-1.5841608678999171</v>
      </c>
      <c r="J247">
        <f t="shared" si="69"/>
        <v>2.5760834506812196</v>
      </c>
      <c r="K247" s="6">
        <f t="shared" si="70"/>
        <v>0.176868</v>
      </c>
      <c r="N247" s="6">
        <f t="shared" si="71"/>
        <v>-156.59999999999999</v>
      </c>
      <c r="O247" s="6">
        <f t="shared" si="72"/>
        <v>-55.99785257950407</v>
      </c>
      <c r="P247" s="7">
        <f t="shared" si="73"/>
        <v>-129.40340222144135</v>
      </c>
      <c r="Q247" s="7"/>
      <c r="R247" s="7">
        <f t="shared" si="74"/>
        <v>-1.7125057623392343</v>
      </c>
      <c r="S247" s="7">
        <f t="shared" si="75"/>
        <v>-6.8583803177363913</v>
      </c>
      <c r="T247" s="7">
        <f t="shared" si="76"/>
        <v>-6.8583803177363913</v>
      </c>
      <c r="U247" s="7">
        <f t="shared" si="77"/>
        <v>-3.120410078306775</v>
      </c>
      <c r="V247" s="7">
        <f t="shared" si="78"/>
        <v>-3.120410078306775</v>
      </c>
      <c r="W247" s="7">
        <f t="shared" si="79"/>
        <v>-6.2959914542538513</v>
      </c>
      <c r="X247" s="7">
        <f t="shared" si="80"/>
        <v>7.026839079474926</v>
      </c>
      <c r="Y247" s="7">
        <f t="shared" si="81"/>
        <v>-0.46050279737024147</v>
      </c>
    </row>
    <row r="248" ht="14.25">
      <c r="A248">
        <v>-88</v>
      </c>
      <c r="B248">
        <f t="shared" si="63"/>
        <v>-26.399999999999999</v>
      </c>
      <c r="E248">
        <f t="shared" si="64"/>
        <v>-1.3991999999999998</v>
      </c>
      <c r="F248">
        <f t="shared" si="65"/>
        <v>-1.3991999999999998</v>
      </c>
      <c r="G248">
        <f t="shared" si="66"/>
        <v>2.0281493832776003</v>
      </c>
      <c r="H248">
        <f t="shared" si="67"/>
        <v>2.0281493832776003</v>
      </c>
      <c r="I248">
        <f t="shared" si="68"/>
        <v>-1.6000608678999169</v>
      </c>
      <c r="J248">
        <f t="shared" si="69"/>
        <v>2.5833282218630185</v>
      </c>
      <c r="K248" s="6">
        <f t="shared" si="70"/>
        <v>0.17683199999999999</v>
      </c>
      <c r="N248" s="6">
        <f t="shared" si="71"/>
        <v>-158.40000000000001</v>
      </c>
      <c r="O248" s="6">
        <f t="shared" si="72"/>
        <v>-51.905561928539619</v>
      </c>
      <c r="P248" s="7">
        <f t="shared" si="73"/>
        <v>-131.09848451024345</v>
      </c>
      <c r="Q248" s="7"/>
      <c r="R248" s="7">
        <f t="shared" si="74"/>
        <v>-1.4956143578381182</v>
      </c>
      <c r="S248" s="7">
        <f t="shared" si="75"/>
        <v>-6.9482196790429027</v>
      </c>
      <c r="T248" s="7">
        <f t="shared" si="76"/>
        <v>-6.9482196790429027</v>
      </c>
      <c r="U248" s="7">
        <f t="shared" si="77"/>
        <v>-2.9219611075388983</v>
      </c>
      <c r="V248" s="7">
        <f t="shared" si="78"/>
        <v>-2.9219611075388983</v>
      </c>
      <c r="W248" s="7">
        <f t="shared" si="79"/>
        <v>-6.4269298681529348</v>
      </c>
      <c r="X248" s="7">
        <f t="shared" si="80"/>
        <v>7.0599776376505785</v>
      </c>
      <c r="Y248" s="7">
        <f t="shared" si="81"/>
        <v>-0.4263216143179519</v>
      </c>
    </row>
    <row r="249" ht="14.25">
      <c r="A249">
        <v>-89</v>
      </c>
      <c r="B249">
        <f t="shared" si="63"/>
        <v>-26.699999999999999</v>
      </c>
      <c r="E249">
        <f t="shared" si="64"/>
        <v>-1.4151</v>
      </c>
      <c r="F249">
        <f t="shared" si="65"/>
        <v>-1.4151</v>
      </c>
      <c r="G249">
        <f t="shared" si="66"/>
        <v>2.0248853941742264</v>
      </c>
      <c r="H249">
        <f t="shared" si="67"/>
        <v>2.0248853941742264</v>
      </c>
      <c r="I249">
        <f t="shared" si="68"/>
        <v>-1.6159608678999171</v>
      </c>
      <c r="J249">
        <f t="shared" si="69"/>
        <v>2.5906544320159659</v>
      </c>
      <c r="K249" s="6">
        <f t="shared" si="70"/>
        <v>0.17679600000000001</v>
      </c>
      <c r="N249" s="6">
        <f t="shared" si="71"/>
        <v>-160.19999999999999</v>
      </c>
      <c r="O249" s="6">
        <f t="shared" si="72"/>
        <v>-47.762046754586137</v>
      </c>
      <c r="P249" s="7">
        <f t="shared" si="73"/>
        <v>-132.66418842254578</v>
      </c>
      <c r="Q249" s="7"/>
      <c r="R249" s="7">
        <f t="shared" si="74"/>
        <v>-1.276008053618584</v>
      </c>
      <c r="S249" s="7">
        <f t="shared" si="75"/>
        <v>-7.031201986394926</v>
      </c>
      <c r="T249" s="7">
        <f t="shared" si="76"/>
        <v>-7.031201986394926</v>
      </c>
      <c r="U249" s="7">
        <f t="shared" si="77"/>
        <v>-2.7193896050155786</v>
      </c>
      <c r="V249" s="7">
        <f t="shared" si="78"/>
        <v>-2.7193896050155786</v>
      </c>
      <c r="W249" s="7">
        <f t="shared" si="79"/>
        <v>-6.551525678204797</v>
      </c>
      <c r="X249" s="7">
        <f t="shared" si="80"/>
        <v>7.0934877554023883</v>
      </c>
      <c r="Y249" s="7">
        <f t="shared" si="81"/>
        <v>-0.39184054177069416</v>
      </c>
    </row>
    <row r="250" ht="14.25">
      <c r="A250">
        <v>-90</v>
      </c>
      <c r="B250">
        <f t="shared" si="63"/>
        <v>-27</v>
      </c>
      <c r="E250">
        <f t="shared" si="64"/>
        <v>-1.431</v>
      </c>
      <c r="F250">
        <f t="shared" si="65"/>
        <v>-1.431</v>
      </c>
      <c r="G250">
        <f t="shared" si="66"/>
        <v>2.021621405070853</v>
      </c>
      <c r="H250">
        <f t="shared" si="67"/>
        <v>2.021621405070853</v>
      </c>
      <c r="I250">
        <f t="shared" si="68"/>
        <v>-1.6318608678999171</v>
      </c>
      <c r="J250">
        <f t="shared" si="69"/>
        <v>2.5980613921968279</v>
      </c>
      <c r="K250" s="6">
        <f t="shared" si="70"/>
        <v>0.17676</v>
      </c>
      <c r="N250" s="6">
        <f t="shared" si="71"/>
        <v>-162</v>
      </c>
      <c r="O250" s="6">
        <f t="shared" si="72"/>
        <v>-43.571396206867597</v>
      </c>
      <c r="P250" s="7">
        <f t="shared" si="73"/>
        <v>-134.09896879761664</v>
      </c>
      <c r="Q250" s="7"/>
      <c r="R250" s="7">
        <f t="shared" si="74"/>
        <v>-1.0539035745895011</v>
      </c>
      <c r="S250" s="7">
        <f t="shared" si="75"/>
        <v>-7.1072453462736815</v>
      </c>
      <c r="T250" s="7">
        <f t="shared" si="76"/>
        <v>-7.1072453462736815</v>
      </c>
      <c r="U250" s="7">
        <f t="shared" si="77"/>
        <v>-2.5128954843530478</v>
      </c>
      <c r="V250" s="7">
        <f t="shared" si="78"/>
        <v>-2.5128954843530478</v>
      </c>
      <c r="W250" s="7">
        <f t="shared" si="79"/>
        <v>-6.6696559233875528</v>
      </c>
      <c r="X250" s="7">
        <f t="shared" si="80"/>
        <v>7.1273384830286126</v>
      </c>
      <c r="Y250" s="7">
        <f t="shared" si="81"/>
        <v>-0.35708529005932849</v>
      </c>
    </row>
    <row r="251" ht="14.25">
      <c r="A251">
        <v>-91</v>
      </c>
      <c r="B251">
        <f t="shared" si="63"/>
        <v>-27.300000000000001</v>
      </c>
      <c r="E251">
        <f t="shared" si="64"/>
        <v>-1.4469000000000001</v>
      </c>
      <c r="F251">
        <f t="shared" si="65"/>
        <v>-1.4469000000000001</v>
      </c>
      <c r="G251">
        <f t="shared" si="66"/>
        <v>2.0183574159674791</v>
      </c>
      <c r="H251">
        <f t="shared" si="67"/>
        <v>2.0183574159674791</v>
      </c>
      <c r="I251">
        <f t="shared" si="68"/>
        <v>-1.6477608678999172</v>
      </c>
      <c r="J251">
        <f t="shared" si="69"/>
        <v>2.6055484137457912</v>
      </c>
      <c r="K251" s="6">
        <f t="shared" si="70"/>
        <v>0.17672399999999999</v>
      </c>
      <c r="N251" s="6">
        <f t="shared" si="71"/>
        <v>-163.80000000000001</v>
      </c>
      <c r="O251" s="6">
        <f t="shared" si="72"/>
        <v>-39.337745951531303</v>
      </c>
      <c r="P251" s="7">
        <f t="shared" si="73"/>
        <v>-135.40140968044898</v>
      </c>
      <c r="Q251" s="7"/>
      <c r="R251" s="7">
        <f t="shared" si="74"/>
        <v>-0.82952011105667789</v>
      </c>
      <c r="S251" s="7">
        <f t="shared" si="75"/>
        <v>-7.1762747130637958</v>
      </c>
      <c r="T251" s="7">
        <f t="shared" si="76"/>
        <v>-7.1762747130637958</v>
      </c>
      <c r="U251" s="7">
        <f t="shared" si="77"/>
        <v>-2.3026825303180685</v>
      </c>
      <c r="V251" s="7">
        <f t="shared" si="78"/>
        <v>-2.3026825303180685</v>
      </c>
      <c r="W251" s="7">
        <f t="shared" si="79"/>
        <v>-6.7812040234112443</v>
      </c>
      <c r="X251" s="7">
        <f t="shared" si="80"/>
        <v>7.1614994828290586</v>
      </c>
      <c r="Y251" s="7">
        <f t="shared" si="81"/>
        <v>-0.32208139603084951</v>
      </c>
    </row>
    <row r="252" ht="14.25">
      <c r="A252">
        <v>-92</v>
      </c>
      <c r="B252">
        <f t="shared" si="63"/>
        <v>-27.600000000000001</v>
      </c>
      <c r="E252">
        <f t="shared" si="64"/>
        <v>-1.4628000000000001</v>
      </c>
      <c r="F252">
        <f t="shared" si="65"/>
        <v>-1.4628000000000001</v>
      </c>
      <c r="G252">
        <f t="shared" si="66"/>
        <v>2.0150934268641056</v>
      </c>
      <c r="H252">
        <f t="shared" si="67"/>
        <v>2.0150934268641056</v>
      </c>
      <c r="I252">
        <f t="shared" si="68"/>
        <v>-1.6636608678999172</v>
      </c>
      <c r="J252">
        <f t="shared" si="69"/>
        <v>2.6131148084943439</v>
      </c>
      <c r="K252" s="6">
        <f t="shared" si="70"/>
        <v>0.17668799999999998</v>
      </c>
      <c r="N252" s="6">
        <f t="shared" si="71"/>
        <v>-165.59999999999999</v>
      </c>
      <c r="O252" s="6">
        <f t="shared" si="72"/>
        <v>-35.065274090244586</v>
      </c>
      <c r="P252" s="7">
        <f t="shared" si="73"/>
        <v>-136.57022571913697</v>
      </c>
      <c r="Q252" s="7"/>
      <c r="R252" s="7">
        <f t="shared" si="74"/>
        <v>-0.60307910240848162</v>
      </c>
      <c r="S252" s="7">
        <f t="shared" si="75"/>
        <v>-7.2382219631142597</v>
      </c>
      <c r="T252" s="7">
        <f t="shared" si="76"/>
        <v>-7.2382219631142597</v>
      </c>
      <c r="U252" s="7">
        <f t="shared" si="77"/>
        <v>-2.0889581977169582</v>
      </c>
      <c r="V252" s="7">
        <f t="shared" si="78"/>
        <v>-2.0889581977169582</v>
      </c>
      <c r="W252" s="7">
        <f t="shared" si="79"/>
        <v>-6.8860598937685094</v>
      </c>
      <c r="X252" s="7">
        <f t="shared" si="80"/>
        <v>7.1959410234086869</v>
      </c>
      <c r="Y252" s="7">
        <f t="shared" si="81"/>
        <v>-0.28685423242775265</v>
      </c>
    </row>
    <row r="253" ht="14.25">
      <c r="A253">
        <v>-93</v>
      </c>
      <c r="B253">
        <f t="shared" si="63"/>
        <v>-27.899999999999999</v>
      </c>
      <c r="E253">
        <f t="shared" si="64"/>
        <v>-1.4786999999999999</v>
      </c>
      <c r="F253">
        <f t="shared" si="65"/>
        <v>-1.4786999999999999</v>
      </c>
      <c r="G253">
        <f t="shared" si="66"/>
        <v>2.0118294377607322</v>
      </c>
      <c r="H253">
        <f t="shared" si="67"/>
        <v>2.0118294377607322</v>
      </c>
      <c r="I253">
        <f t="shared" si="68"/>
        <v>-1.679560867899917</v>
      </c>
      <c r="J253">
        <f t="shared" si="69"/>
        <v>2.6207598889675845</v>
      </c>
      <c r="K253" s="6">
        <f t="shared" si="70"/>
        <v>0.176652</v>
      </c>
      <c r="N253" s="6">
        <f t="shared" si="71"/>
        <v>-167.40000000000001</v>
      </c>
      <c r="O253" s="6">
        <f t="shared" si="72"/>
        <v>-30.758197036912467</v>
      </c>
      <c r="P253" s="7">
        <f t="shared" si="73"/>
        <v>-137.6042634333634</v>
      </c>
      <c r="Q253" s="7"/>
      <c r="R253" s="7">
        <f t="shared" si="74"/>
        <v>-0.37480401858187951</v>
      </c>
      <c r="S253" s="7">
        <f t="shared" si="75"/>
        <v>-7.2930259619682598</v>
      </c>
      <c r="T253" s="7">
        <f t="shared" si="76"/>
        <v>-7.2930259619682598</v>
      </c>
      <c r="U253" s="7">
        <f t="shared" si="77"/>
        <v>-1.8719334066627311</v>
      </c>
      <c r="V253" s="7">
        <f t="shared" si="78"/>
        <v>-1.8719334066627311</v>
      </c>
      <c r="W253" s="7">
        <f t="shared" si="79"/>
        <v>-6.9841200543747153</v>
      </c>
      <c r="X253" s="7">
        <f t="shared" si="80"/>
        <v>7.2306339703306106</v>
      </c>
      <c r="Y253" s="7">
        <f t="shared" si="81"/>
        <v>-0.25142901904539666</v>
      </c>
    </row>
    <row r="254" ht="14.25">
      <c r="A254">
        <v>-94</v>
      </c>
      <c r="B254">
        <f t="shared" si="63"/>
        <v>-28.199999999999999</v>
      </c>
      <c r="E254">
        <f t="shared" si="64"/>
        <v>-1.4945999999999999</v>
      </c>
      <c r="F254">
        <f t="shared" si="65"/>
        <v>-1.4945999999999999</v>
      </c>
      <c r="G254">
        <f t="shared" si="66"/>
        <v>2.0085654486573583</v>
      </c>
      <c r="H254">
        <f t="shared" si="67"/>
        <v>2.0085654486573583</v>
      </c>
      <c r="I254">
        <f t="shared" si="68"/>
        <v>-1.695460867899917</v>
      </c>
      <c r="J254">
        <f t="shared" si="69"/>
        <v>2.6284829685809408</v>
      </c>
      <c r="K254" s="6">
        <f t="shared" si="70"/>
        <v>0.176616</v>
      </c>
      <c r="N254" s="6">
        <f t="shared" si="71"/>
        <v>-169.19999999999999</v>
      </c>
      <c r="O254" s="6">
        <f t="shared" si="72"/>
        <v>-26.420765356587228</v>
      </c>
      <c r="P254" s="7">
        <f t="shared" si="73"/>
        <v>-138.5025023527451</v>
      </c>
      <c r="Q254" s="7"/>
      <c r="R254" s="7">
        <f t="shared" si="74"/>
        <v>-0.14492013952464178</v>
      </c>
      <c r="S254" s="7">
        <f t="shared" si="75"/>
        <v>-7.3406326246954903</v>
      </c>
      <c r="T254" s="7">
        <f t="shared" si="76"/>
        <v>-7.3406326246954903</v>
      </c>
      <c r="U254" s="7">
        <f t="shared" si="77"/>
        <v>-1.6518223344224534</v>
      </c>
      <c r="V254" s="7">
        <f t="shared" si="78"/>
        <v>-1.6518223344224534</v>
      </c>
      <c r="W254" s="7">
        <f t="shared" si="79"/>
        <v>-7.075287731690282</v>
      </c>
      <c r="X254" s="7">
        <f t="shared" si="80"/>
        <v>7.2655497734654508</v>
      </c>
      <c r="Y254" s="7">
        <f t="shared" si="81"/>
        <v>-0.21583083551351279</v>
      </c>
    </row>
    <row r="255" ht="14.25">
      <c r="A255">
        <v>-95</v>
      </c>
      <c r="B255">
        <f t="shared" si="63"/>
        <v>-28.5</v>
      </c>
      <c r="E255">
        <f t="shared" si="64"/>
        <v>-1.5105</v>
      </c>
      <c r="F255">
        <f t="shared" si="65"/>
        <v>-1.5105</v>
      </c>
      <c r="G255">
        <f t="shared" si="66"/>
        <v>2.0053014595539849</v>
      </c>
      <c r="H255">
        <f t="shared" si="67"/>
        <v>2.0053014595539849</v>
      </c>
      <c r="I255">
        <f t="shared" si="68"/>
        <v>-1.711360867899917</v>
      </c>
      <c r="J255">
        <f t="shared" si="69"/>
        <v>2.6362833618312922</v>
      </c>
      <c r="K255" s="6">
        <f t="shared" si="70"/>
        <v>0.17657999999999999</v>
      </c>
      <c r="N255" s="6">
        <f t="shared" si="71"/>
        <v>-171</v>
      </c>
      <c r="O255" s="6">
        <f t="shared" si="72"/>
        <v>-22.057259570672567</v>
      </c>
      <c r="P255" s="7">
        <f t="shared" si="73"/>
        <v>-139.26405602391441</v>
      </c>
      <c r="Q255" s="7"/>
      <c r="R255" s="7">
        <f t="shared" si="74"/>
        <v>0.08634566712883518</v>
      </c>
      <c r="S255" s="7">
        <f t="shared" si="75"/>
        <v>-7.380994969267463</v>
      </c>
      <c r="T255" s="7">
        <f t="shared" si="76"/>
        <v>-7.380994969267463</v>
      </c>
      <c r="U255" s="7">
        <f t="shared" si="77"/>
        <v>-1.428842204050079</v>
      </c>
      <c r="V255" s="7">
        <f t="shared" si="78"/>
        <v>-1.428842204050079</v>
      </c>
      <c r="W255" s="7">
        <f t="shared" si="79"/>
        <v>-7.159472954224511</v>
      </c>
      <c r="X255" s="7">
        <f t="shared" si="80"/>
        <v>7.3006604513801996</v>
      </c>
      <c r="Y255" s="7">
        <f t="shared" si="81"/>
        <v>-0.18008463554054815</v>
      </c>
    </row>
    <row r="256" ht="14.25">
      <c r="A256">
        <v>-96</v>
      </c>
      <c r="B256">
        <f t="shared" si="63"/>
        <v>-28.800000000000001</v>
      </c>
      <c r="E256">
        <f t="shared" si="64"/>
        <v>-1.5264</v>
      </c>
      <c r="F256">
        <f t="shared" si="65"/>
        <v>-1.5264</v>
      </c>
      <c r="G256">
        <f t="shared" si="66"/>
        <v>2.002037470450611</v>
      </c>
      <c r="H256">
        <f t="shared" si="67"/>
        <v>2.002037470450611</v>
      </c>
      <c r="I256">
        <f t="shared" si="68"/>
        <v>-1.7272608678999171</v>
      </c>
      <c r="J256">
        <f t="shared" si="69"/>
        <v>2.6441603844825026</v>
      </c>
      <c r="K256" s="6">
        <f t="shared" si="70"/>
        <v>0.17654399999999998</v>
      </c>
      <c r="N256" s="6">
        <f t="shared" si="71"/>
        <v>-172.80000000000001</v>
      </c>
      <c r="O256" s="6">
        <f t="shared" si="72"/>
        <v>-17.671985932566876</v>
      </c>
      <c r="P256" s="7">
        <f t="shared" si="73"/>
        <v>-139.88817288534139</v>
      </c>
      <c r="Q256" s="7"/>
      <c r="R256" s="7">
        <f t="shared" si="74"/>
        <v>0.31876516994843684</v>
      </c>
      <c r="S256" s="7">
        <f t="shared" si="75"/>
        <v>-7.4140731629230938</v>
      </c>
      <c r="T256" s="7">
        <f t="shared" si="76"/>
        <v>-7.4140731629230938</v>
      </c>
      <c r="U256" s="7">
        <f t="shared" si="77"/>
        <v>-1.2032130700135757</v>
      </c>
      <c r="V256" s="7">
        <f t="shared" si="78"/>
        <v>-1.2032130700135757</v>
      </c>
      <c r="W256" s="7">
        <f t="shared" si="79"/>
        <v>-7.2365926413265687</v>
      </c>
      <c r="X256" s="7">
        <f t="shared" si="80"/>
        <v>7.335938573103876</v>
      </c>
      <c r="Y256" s="7">
        <f t="shared" si="81"/>
        <v>-0.14421526245292848</v>
      </c>
    </row>
    <row r="257" ht="14.25">
      <c r="A257">
        <v>-97</v>
      </c>
      <c r="B257">
        <f t="shared" si="63"/>
        <v>-29.100000000000001</v>
      </c>
      <c r="E257">
        <f t="shared" si="64"/>
        <v>-1.5423</v>
      </c>
      <c r="F257">
        <f t="shared" si="65"/>
        <v>-1.5423</v>
      </c>
      <c r="G257">
        <f t="shared" si="66"/>
        <v>1.9987734813472373</v>
      </c>
      <c r="H257">
        <f t="shared" si="67"/>
        <v>1.9987734813472373</v>
      </c>
      <c r="I257">
        <f t="shared" si="68"/>
        <v>-1.7431608678999171</v>
      </c>
      <c r="J257">
        <f t="shared" si="69"/>
        <v>2.652113353745376</v>
      </c>
      <c r="K257" s="6">
        <f t="shared" si="70"/>
        <v>0.176508</v>
      </c>
      <c r="N257" s="6">
        <f t="shared" si="71"/>
        <v>-174.59999999999999</v>
      </c>
      <c r="O257" s="6">
        <f t="shared" si="72"/>
        <v>-13.269272177910524</v>
      </c>
      <c r="P257" s="7">
        <f t="shared" si="73"/>
        <v>-140.37423700903429</v>
      </c>
      <c r="Q257" s="7"/>
      <c r="R257" s="7">
        <f t="shared" si="74"/>
        <v>0.55210899894522347</v>
      </c>
      <c r="S257" s="7">
        <f t="shared" si="75"/>
        <v>-7.4398345614788175</v>
      </c>
      <c r="T257" s="7">
        <f t="shared" si="76"/>
        <v>-7.4398345614788175</v>
      </c>
      <c r="U257" s="7">
        <f t="shared" si="77"/>
        <v>-0.97515760102770388</v>
      </c>
      <c r="V257" s="7">
        <f t="shared" si="78"/>
        <v>-0.97515760102770388</v>
      </c>
      <c r="W257" s="7">
        <f t="shared" si="79"/>
        <v>-7.3065706851760508</v>
      </c>
      <c r="X257" s="7">
        <f t="shared" si="80"/>
        <v>7.3713572375998799</v>
      </c>
      <c r="Y257" s="7">
        <f t="shared" si="81"/>
        <v>-0.10824746585535835</v>
      </c>
    </row>
    <row r="258" ht="14.25">
      <c r="A258">
        <v>-98</v>
      </c>
      <c r="B258">
        <f t="shared" si="63"/>
        <v>-29.399999999999999</v>
      </c>
      <c r="E258">
        <f t="shared" si="64"/>
        <v>-1.5581999999999998</v>
      </c>
      <c r="F258">
        <f t="shared" si="65"/>
        <v>-1.5581999999999998</v>
      </c>
      <c r="G258">
        <f t="shared" si="66"/>
        <v>1.9955094922438636</v>
      </c>
      <c r="H258">
        <f t="shared" si="67"/>
        <v>1.9955094922438636</v>
      </c>
      <c r="I258">
        <f t="shared" si="68"/>
        <v>-1.7590608678999169</v>
      </c>
      <c r="J258">
        <f t="shared" si="69"/>
        <v>2.6601415884520456</v>
      </c>
      <c r="K258" s="6">
        <f t="shared" si="70"/>
        <v>0.17647200000000002</v>
      </c>
      <c r="N258" s="6">
        <f t="shared" si="71"/>
        <v>-176.40000000000001</v>
      </c>
      <c r="O258" s="6">
        <f t="shared" si="72"/>
        <v>-8.8534632536332154</v>
      </c>
      <c r="P258" s="7">
        <f t="shared" si="73"/>
        <v>-140.72176870838629</v>
      </c>
      <c r="Q258" s="7"/>
      <c r="R258" s="7">
        <f t="shared" si="74"/>
        <v>0.7861468719319209</v>
      </c>
      <c r="S258" s="7">
        <f t="shared" si="75"/>
        <v>-7.458253741544473</v>
      </c>
      <c r="T258" s="7">
        <f t="shared" si="76"/>
        <v>-7.458253741544473</v>
      </c>
      <c r="U258" s="7">
        <f t="shared" si="77"/>
        <v>-0.74490086030687941</v>
      </c>
      <c r="V258" s="7">
        <f t="shared" si="78"/>
        <v>-0.74490086030687941</v>
      </c>
      <c r="W258" s="7">
        <f t="shared" si="79"/>
        <v>-7.3693380258922332</v>
      </c>
      <c r="X258" s="7">
        <f t="shared" si="80"/>
        <v>7.4068900512662639</v>
      </c>
      <c r="Y258" s="7">
        <f t="shared" si="81"/>
        <v>-0.072205919233223129</v>
      </c>
    </row>
    <row r="259" ht="14.25">
      <c r="A259">
        <v>-99</v>
      </c>
      <c r="B259">
        <f t="shared" si="63"/>
        <v>-29.699999999999999</v>
      </c>
      <c r="E259">
        <f t="shared" si="64"/>
        <v>-1.5740999999999998</v>
      </c>
      <c r="F259">
        <f t="shared" si="65"/>
        <v>-1.5740999999999998</v>
      </c>
      <c r="G259">
        <f t="shared" si="66"/>
        <v>1.9922455031404902</v>
      </c>
      <c r="H259">
        <f t="shared" si="67"/>
        <v>1.9922455031404902</v>
      </c>
      <c r="I259">
        <f t="shared" si="68"/>
        <v>-1.7749608678999169</v>
      </c>
      <c r="J259">
        <f t="shared" si="69"/>
        <v>2.6682444092248243</v>
      </c>
      <c r="K259" s="6">
        <f t="shared" si="70"/>
        <v>0.17643599999999998</v>
      </c>
      <c r="N259" s="6">
        <f t="shared" si="71"/>
        <v>-178.19999999999999</v>
      </c>
      <c r="O259" s="6">
        <f t="shared" si="72"/>
        <v>-4.4289170300160814</v>
      </c>
      <c r="P259" s="7">
        <f t="shared" si="73"/>
        <v>-140.93042501156816</v>
      </c>
      <c r="Q259" s="7"/>
      <c r="R259" s="7">
        <f t="shared" si="74"/>
        <v>1.020647821783629</v>
      </c>
      <c r="S259" s="7">
        <f t="shared" si="75"/>
        <v>-7.4693125256131125</v>
      </c>
      <c r="T259" s="7">
        <f t="shared" si="76"/>
        <v>-7.4693125256131125</v>
      </c>
      <c r="U259" s="7">
        <f t="shared" si="77"/>
        <v>-0.51267008345495757</v>
      </c>
      <c r="V259" s="7">
        <f t="shared" si="78"/>
        <v>-0.51267008345495757</v>
      </c>
      <c r="W259" s="7">
        <f t="shared" si="79"/>
        <v>-7.4248327196878252</v>
      </c>
      <c r="X259" s="7">
        <f t="shared" si="80"/>
        <v>7.4425111037751641</v>
      </c>
      <c r="Y259" s="7">
        <f t="shared" si="81"/>
        <v>-0.036115238313857906</v>
      </c>
    </row>
    <row r="260" ht="14.25">
      <c r="A260">
        <v>-100</v>
      </c>
      <c r="B260">
        <f t="shared" si="63"/>
        <v>-30</v>
      </c>
      <c r="E260">
        <f t="shared" si="64"/>
        <v>-1.5899999999999999</v>
      </c>
      <c r="F260">
        <f t="shared" si="65"/>
        <v>-1.5899999999999999</v>
      </c>
      <c r="G260">
        <f t="shared" si="66"/>
        <v>1.9889815140371163</v>
      </c>
      <c r="H260">
        <f t="shared" si="67"/>
        <v>1.9889815140371163</v>
      </c>
      <c r="I260">
        <f t="shared" si="68"/>
        <v>-1.7908608678999169</v>
      </c>
      <c r="J260">
        <f t="shared" si="69"/>
        <v>2.6764211386395496</v>
      </c>
      <c r="K260" s="6">
        <f t="shared" si="70"/>
        <v>0.1764</v>
      </c>
      <c r="N260" s="6">
        <f t="shared" si="71"/>
        <v>-180</v>
      </c>
      <c r="O260" s="6">
        <f t="shared" si="72"/>
        <v>-1.7267519867977681e-14</v>
      </c>
      <c r="P260" s="7">
        <f t="shared" si="73"/>
        <v>-141</v>
      </c>
      <c r="Q260" s="7"/>
      <c r="R260" s="7">
        <f t="shared" si="74"/>
        <v>1.2553804243744804</v>
      </c>
      <c r="S260" s="7">
        <f t="shared" si="75"/>
        <v>-7.4729999999999999</v>
      </c>
      <c r="T260" s="7">
        <f t="shared" si="76"/>
        <v>-7.4729999999999999</v>
      </c>
      <c r="U260" s="7">
        <f t="shared" si="77"/>
        <v>-0.27869445421113581</v>
      </c>
      <c r="V260" s="7">
        <f t="shared" si="78"/>
        <v>-0.27869445421113581</v>
      </c>
      <c r="W260" s="7">
        <f t="shared" si="79"/>
        <v>-7.4729999999999999</v>
      </c>
      <c r="X260" s="7">
        <f t="shared" si="80"/>
        <v>7.4781949425518484</v>
      </c>
      <c r="Y260" s="7">
        <f t="shared" si="81"/>
        <v>-1.4079935700349002e-16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2025-12-09T14:21:30Z</dcterms:modified>
</cp:coreProperties>
</file>